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358af3e27de9c928/Documents/"/>
    </mc:Choice>
  </mc:AlternateContent>
  <xr:revisionPtr revIDLastSave="1057" documentId="8_{8CD1AF87-A47A-4838-82D4-F495C8AC4834}" xr6:coauthVersionLast="47" xr6:coauthVersionMax="47" xr10:uidLastSave="{8CD2C243-FC1B-4141-BE9C-D759FEA59D7F}"/>
  <bookViews>
    <workbookView xWindow="-108" yWindow="-108" windowWidth="23256" windowHeight="12456" activeTab="2" xr2:uid="{4CAC28DB-9F78-4FE5-9403-66FACE18470B}"/>
  </bookViews>
  <sheets>
    <sheet name="Raw Data" sheetId="1" r:id="rId1"/>
    <sheet name="Analysis" sheetId="2" r:id="rId2"/>
    <sheet name="Dashboard" sheetId="3" r:id="rId3"/>
  </sheets>
  <definedNames>
    <definedName name="Slicer_Category">#N/A</definedName>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5" i="2" l="1"/>
  <c r="L4" i="2"/>
  <c r="L3" i="2"/>
  <c r="L3" i="1"/>
  <c r="L4" i="1"/>
  <c r="L5" i="1"/>
  <c r="L6" i="1"/>
  <c r="L7" i="1"/>
  <c r="L8" i="1"/>
  <c r="L9" i="1"/>
  <c r="L10" i="1"/>
  <c r="L11" i="1"/>
  <c r="L12" i="1"/>
  <c r="L13" i="1"/>
  <c r="L14" i="1"/>
  <c r="L15" i="1"/>
  <c r="L16" i="1"/>
  <c r="L2" i="1"/>
</calcChain>
</file>

<file path=xl/sharedStrings.xml><?xml version="1.0" encoding="utf-8"?>
<sst xmlns="http://schemas.openxmlformats.org/spreadsheetml/2006/main" count="157" uniqueCount="98">
  <si>
    <t>Order ID</t>
  </si>
  <si>
    <t>Customer Name</t>
  </si>
  <si>
    <t>Email</t>
  </si>
  <si>
    <t>Phone</t>
  </si>
  <si>
    <t>City</t>
  </si>
  <si>
    <t>Product</t>
  </si>
  <si>
    <t>Category</t>
  </si>
  <si>
    <t>Quantity</t>
  </si>
  <si>
    <t>Unit Price</t>
  </si>
  <si>
    <t>Order Date</t>
  </si>
  <si>
    <t>Payment Method</t>
  </si>
  <si>
    <t>Total Sales</t>
  </si>
  <si>
    <t>John Doe</t>
  </si>
  <si>
    <t>johndoe@email.com</t>
  </si>
  <si>
    <t>Lagos</t>
  </si>
  <si>
    <t>Wireless Mouse</t>
  </si>
  <si>
    <t>Electronics</t>
  </si>
  <si>
    <t>Card</t>
  </si>
  <si>
    <t>Jane Smith</t>
  </si>
  <si>
    <t>janesmith@email.com</t>
  </si>
  <si>
    <t>Abuja</t>
  </si>
  <si>
    <t>Laptop Stand</t>
  </si>
  <si>
    <t>Accessories</t>
  </si>
  <si>
    <t>Transfer</t>
  </si>
  <si>
    <t>Michael Johnson</t>
  </si>
  <si>
    <t>michaelj@email.com</t>
  </si>
  <si>
    <t>Ibadan</t>
  </si>
  <si>
    <t>USB Cable</t>
  </si>
  <si>
    <t>Cash</t>
  </si>
  <si>
    <t>Grace Lee</t>
  </si>
  <si>
    <t>gracelee@email.com</t>
  </si>
  <si>
    <t>Bluetooth Speaker</t>
  </si>
  <si>
    <t>David Brown</t>
  </si>
  <si>
    <t>davidbrown@email.com</t>
  </si>
  <si>
    <t>Kano</t>
  </si>
  <si>
    <t>Office Chair</t>
  </si>
  <si>
    <t>Furniture</t>
  </si>
  <si>
    <t>Sarah Adams</t>
  </si>
  <si>
    <t>sarahadams@email.com</t>
  </si>
  <si>
    <t>Notebook</t>
  </si>
  <si>
    <t>Stationery</t>
  </si>
  <si>
    <t>Peter Obi</t>
  </si>
  <si>
    <t>peterobi@email.com</t>
  </si>
  <si>
    <t>Enugu</t>
  </si>
  <si>
    <t>Desk Lamp</t>
  </si>
  <si>
    <t>Chioma Okafor</t>
  </si>
  <si>
    <t>chiomaokafor@email.com</t>
  </si>
  <si>
    <t>Owerri</t>
  </si>
  <si>
    <t>Power Bank</t>
  </si>
  <si>
    <t>Emeka Nwosu</t>
  </si>
  <si>
    <t>emekanwosu@email</t>
  </si>
  <si>
    <t>Monitor</t>
  </si>
  <si>
    <t>Aisha Bello</t>
  </si>
  <si>
    <t>aishabello@email.com</t>
  </si>
  <si>
    <t>Kaduna</t>
  </si>
  <si>
    <t>Keyboard</t>
  </si>
  <si>
    <t>Tunde Bakare</t>
  </si>
  <si>
    <t>tundeb@email.com</t>
  </si>
  <si>
    <t>Office Desk</t>
  </si>
  <si>
    <t>Mary James</t>
  </si>
  <si>
    <t>maryjames@email.com</t>
  </si>
  <si>
    <t>Pen Pack</t>
  </si>
  <si>
    <t>Paul Okoye</t>
  </si>
  <si>
    <t>paulokoye@email.com</t>
  </si>
  <si>
    <t>Headphones</t>
  </si>
  <si>
    <t>08034567891</t>
  </si>
  <si>
    <t>08123456789</t>
  </si>
  <si>
    <t>07012345678</t>
  </si>
  <si>
    <t>08087654321</t>
  </si>
  <si>
    <t>08111111111</t>
  </si>
  <si>
    <t>09022223333</t>
  </si>
  <si>
    <t>08099998888</t>
  </si>
  <si>
    <t>08155556666</t>
  </si>
  <si>
    <t>07077778888</t>
  </si>
  <si>
    <t>08033334444</t>
  </si>
  <si>
    <t>08122221111</t>
  </si>
  <si>
    <t>09011112222</t>
  </si>
  <si>
    <t>08044445555</t>
  </si>
  <si>
    <t>Sum of Total Sales</t>
  </si>
  <si>
    <t>Months (Order Date)</t>
  </si>
  <si>
    <t>Jan</t>
  </si>
  <si>
    <t>Feb</t>
  </si>
  <si>
    <t>Mar</t>
  </si>
  <si>
    <t>Apr</t>
  </si>
  <si>
    <t>May</t>
  </si>
  <si>
    <t>Jun</t>
  </si>
  <si>
    <t>Jul</t>
  </si>
  <si>
    <t>Aug</t>
  </si>
  <si>
    <t>Sales By Category</t>
  </si>
  <si>
    <t>Sales By City</t>
  </si>
  <si>
    <t>Sales By Payment Method</t>
  </si>
  <si>
    <t>Sales Trend Over Time</t>
  </si>
  <si>
    <t>Total Revenue</t>
  </si>
  <si>
    <t>Total Orders</t>
  </si>
  <si>
    <t>Avg Order Value</t>
  </si>
  <si>
    <t>Column1</t>
  </si>
  <si>
    <t>Column2</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</si>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</sst>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6A]#,##0"/>
  </numFmts>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14" fontId="0" fillId="0" borderId="0" xfId="0" applyNumberFormat="1"/>
    <xf numFmtId="0" fontId="2" fillId="0" borderId="0" xfId="1"/>
    <xf numFmtId="0" fontId="1" fillId="0" borderId="0" xfId="0" applyFont="1"/>
    <xf numFmtId="0" fontId="1" fillId="0" borderId="0" xfId="0" applyFont="1" applyAlignment="1">
      <alignment horizontal="center" vertical="top"/>
    </xf>
    <xf numFmtId="49" fontId="1" fillId="0" borderId="0" xfId="0" applyNumberFormat="1" applyFont="1" applyAlignment="1">
      <alignment horizontal="center" vertical="top"/>
    </xf>
    <xf numFmtId="49" fontId="0" fillId="0" borderId="0" xfId="0" quotePrefix="1" applyNumberFormat="1"/>
    <xf numFmtId="49" fontId="0" fillId="0" borderId="0" xfId="0" applyNumberFormat="1"/>
    <xf numFmtId="0" fontId="0" fillId="0" borderId="0" xfId="0" pivotButton="1"/>
    <xf numFmtId="164" fontId="1" fillId="0" borderId="0" xfId="0" applyNumberFormat="1" applyFont="1" applyAlignment="1">
      <alignment horizontal="center" vertical="top"/>
    </xf>
    <xf numFmtId="164" fontId="0" fillId="0" borderId="0" xfId="0" applyNumberFormat="1"/>
    <xf numFmtId="10" fontId="0" fillId="0" borderId="0" xfId="0" applyNumberFormat="1"/>
    <xf numFmtId="164" fontId="1" fillId="0" borderId="0" xfId="0" applyNumberFormat="1" applyFont="1"/>
    <xf numFmtId="0" fontId="1" fillId="0" borderId="0" xfId="0" applyFont="1" applyAlignment="1">
      <alignment horizontal="center"/>
    </xf>
    <xf numFmtId="0" fontId="0" fillId="0" borderId="0" xfId="0" applyAlignment="1">
      <alignment horizontal="center"/>
    </xf>
  </cellXfs>
  <cellStyles count="2">
    <cellStyle name="Hyperlink" xfId="1" builtinId="8"/>
    <cellStyle name="Normal" xfId="0" builtinId="0"/>
  </cellStyles>
  <dxfs count="9">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numFmt numFmtId="164" formatCode="[$₦-46A]#,##0"/>
    </dxf>
    <dxf>
      <numFmt numFmtId="164" formatCode="[$₦-46A]#,##0"/>
    </dxf>
    <dxf>
      <numFmt numFmtId="164" formatCode="[$₦-46A]#,##0"/>
    </dxf>
    <dxf>
      <numFmt numFmtId="14" formatCode="0.00%"/>
    </dxf>
    <dxf>
      <numFmt numFmtId="0" formatCode="General"/>
    </dxf>
  </dxfs>
  <tableStyles count="0" defaultTableStyle="TableStyleMedium2" defaultPivotStyle="PivotStyleLight16"/>
  <colors>
    <mruColors>
      <color rgb="FFA8DADC"/>
      <color rgb="FF2A9D8F"/>
      <color rgb="FFF2F4F4"/>
      <color rgb="FFD6E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[Sales_Dashboard_Jan_Aug_2026.xlsx]Analysis!PivotTable2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baseline="0">
                <a:solidFill>
                  <a:schemeClr val="tx1"/>
                </a:solidFill>
              </a:rPr>
              <a:t>Revenue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A8DA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8DADC"/>
          </a:solidFill>
          <a:ln>
            <a:noFill/>
          </a:ln>
          <a:effectLst/>
        </c:spPr>
        <c:dLbl>
          <c:idx val="0"/>
          <c:layout>
            <c:manualLayout>
              <c:x val="-3.5364817800055533E-17"/>
              <c:y val="-0.355191256830601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8DADC"/>
          </a:solidFill>
          <a:ln>
            <a:noFill/>
          </a:ln>
          <a:effectLst/>
        </c:spPr>
        <c:dLbl>
          <c:idx val="0"/>
          <c:layout>
            <c:manualLayout>
              <c:x val="0"/>
              <c:y val="-0.251366120218579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8DADC"/>
          </a:solidFill>
          <a:ln>
            <a:noFill/>
          </a:ln>
          <a:effectLst/>
        </c:spPr>
        <c:dLbl>
          <c:idx val="0"/>
          <c:layout>
            <c:manualLayout>
              <c:x val="7.0729635600111065E-17"/>
              <c:y val="-0.114754098360655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8DADC"/>
          </a:solidFill>
          <a:ln>
            <a:noFill/>
          </a:ln>
          <a:effectLst/>
        </c:spPr>
        <c:dLbl>
          <c:idx val="0"/>
          <c:layout>
            <c:manualLayout>
              <c:x val="0"/>
              <c:y val="-0.103825136612021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Analysis!$E$3</c:f>
              <c:strCache>
                <c:ptCount val="1"/>
                <c:pt idx="0">
                  <c:v>Total</c:v>
                </c:pt>
              </c:strCache>
            </c:strRef>
          </c:tx>
          <c:spPr>
            <a:solidFill>
              <a:srgbClr val="A8DADC"/>
            </a:solidFill>
            <a:ln>
              <a:noFill/>
            </a:ln>
            <a:effectLst/>
          </c:spPr>
          <c:invertIfNegative val="0"/>
          <c:dLbls>
            <c:dLbl>
              <c:idx val="0"/>
              <c:layout>
                <c:manualLayout>
                  <c:x val="-3.5364817800055533E-17"/>
                  <c:y val="-0.355191256830601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B2-41C2-8BCB-EF9CD1E6731C}"/>
                </c:ext>
              </c:extLst>
            </c:dLbl>
            <c:dLbl>
              <c:idx val="1"/>
              <c:layout>
                <c:manualLayout>
                  <c:x val="0"/>
                  <c:y val="-0.251366120218579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B2-41C2-8BCB-EF9CD1E6731C}"/>
                </c:ext>
              </c:extLst>
            </c:dLbl>
            <c:dLbl>
              <c:idx val="2"/>
              <c:layout>
                <c:manualLayout>
                  <c:x val="7.0729635600111065E-17"/>
                  <c:y val="-0.114754098360655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B2-41C2-8BCB-EF9CD1E6731C}"/>
                </c:ext>
              </c:extLst>
            </c:dLbl>
            <c:dLbl>
              <c:idx val="3"/>
              <c:layout>
                <c:manualLayout>
                  <c:x val="0"/>
                  <c:y val="-0.1038251366120218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B2-41C2-8BCB-EF9CD1E6731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Analysis!$D$4:$D$7</c:f>
              <c:strCache>
                <c:ptCount val="4"/>
                <c:pt idx="0">
                  <c:v>Electronics</c:v>
                </c:pt>
                <c:pt idx="1">
                  <c:v>Furniture</c:v>
                </c:pt>
                <c:pt idx="2">
                  <c:v>Accessories</c:v>
                </c:pt>
                <c:pt idx="3">
                  <c:v>Stationery</c:v>
                </c:pt>
              </c:strCache>
            </c:strRef>
          </c:cat>
          <c:val>
            <c:numRef>
              <c:f>Analysis!$E$4:$E$7</c:f>
              <c:numCache>
                <c:formatCode>[$₦-46A]#,##0</c:formatCode>
                <c:ptCount val="4"/>
                <c:pt idx="0">
                  <c:v>161500</c:v>
                </c:pt>
                <c:pt idx="1">
                  <c:v>100000</c:v>
                </c:pt>
                <c:pt idx="2">
                  <c:v>26000</c:v>
                </c:pt>
                <c:pt idx="3">
                  <c:v>8800</c:v>
                </c:pt>
              </c:numCache>
            </c:numRef>
          </c:val>
          <c:extLst>
            <c:ext xmlns:c16="http://schemas.microsoft.com/office/drawing/2014/chart" uri="{C3380CC4-5D6E-409C-BE32-E72D297353CC}">
              <c16:uniqueId val="{00000000-F86B-402A-AA6F-3A58CB08BB1D}"/>
            </c:ext>
          </c:extLst>
        </c:ser>
        <c:dLbls>
          <c:showLegendKey val="0"/>
          <c:showVal val="0"/>
          <c:showCatName val="0"/>
          <c:showSerName val="0"/>
          <c:showPercent val="0"/>
          <c:showBubbleSize val="0"/>
        </c:dLbls>
        <c:gapWidth val="30"/>
        <c:overlap val="100"/>
        <c:axId val="1521825311"/>
        <c:axId val="1521837791"/>
      </c:barChart>
      <c:catAx>
        <c:axId val="1521825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1837791"/>
        <c:crosses val="autoZero"/>
        <c:auto val="1"/>
        <c:lblAlgn val="ctr"/>
        <c:lblOffset val="100"/>
        <c:noMultiLvlLbl val="0"/>
      </c:catAx>
      <c:valAx>
        <c:axId val="1521837791"/>
        <c:scaling>
          <c:orientation val="minMax"/>
        </c:scaling>
        <c:delete val="0"/>
        <c:axPos val="l"/>
        <c:numFmt formatCode="[$₦-46A]#,##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2182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[Sales_Dashboard_Jan_Aug_2026.xlsx]Analysis!PivotTable1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Revenue by City</a:t>
            </a:r>
            <a:endParaRPr lang="en-US" b="1">
              <a:solidFill>
                <a:schemeClr val="tx1"/>
              </a:solidFill>
            </a:endParaRPr>
          </a:p>
        </c:rich>
      </c:tx>
      <c:layout>
        <c:manualLayout>
          <c:xMode val="edge"/>
          <c:yMode val="edge"/>
          <c:x val="0.3494260387262913"/>
          <c:y val="2.55232261357835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8DA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5947605605903"/>
          <c:y val="0.15359877488514551"/>
          <c:w val="0.76537215866884567"/>
          <c:h val="0.69265815356541383"/>
        </c:manualLayout>
      </c:layout>
      <c:barChart>
        <c:barDir val="bar"/>
        <c:grouping val="clustered"/>
        <c:varyColors val="0"/>
        <c:ser>
          <c:idx val="0"/>
          <c:order val="0"/>
          <c:tx>
            <c:strRef>
              <c:f>Analysis!$B$3</c:f>
              <c:strCache>
                <c:ptCount val="1"/>
                <c:pt idx="0">
                  <c:v>Total</c:v>
                </c:pt>
              </c:strCache>
            </c:strRef>
          </c:tx>
          <c:spPr>
            <a:solidFill>
              <a:srgbClr val="A8DADC"/>
            </a:solidFill>
            <a:ln>
              <a:noFill/>
            </a:ln>
            <a:effectLst/>
          </c:spPr>
          <c:invertIfNegative val="0"/>
          <c:cat>
            <c:strRef>
              <c:f>Analysis!$A$4:$A$10</c:f>
              <c:strCache>
                <c:ptCount val="7"/>
                <c:pt idx="0">
                  <c:v>Kaduna</c:v>
                </c:pt>
                <c:pt idx="1">
                  <c:v>Ibadan</c:v>
                </c:pt>
                <c:pt idx="2">
                  <c:v>Owerri</c:v>
                </c:pt>
                <c:pt idx="3">
                  <c:v>Enugu</c:v>
                </c:pt>
                <c:pt idx="4">
                  <c:v>Kano</c:v>
                </c:pt>
                <c:pt idx="5">
                  <c:v>Abuja</c:v>
                </c:pt>
                <c:pt idx="6">
                  <c:v>Lagos</c:v>
                </c:pt>
              </c:strCache>
            </c:strRef>
          </c:cat>
          <c:val>
            <c:numRef>
              <c:f>Analysis!$B$4:$B$10</c:f>
              <c:numCache>
                <c:formatCode>[$₦-46A]#,##0</c:formatCode>
                <c:ptCount val="7"/>
                <c:pt idx="0">
                  <c:v>12000</c:v>
                </c:pt>
                <c:pt idx="1">
                  <c:v>13300</c:v>
                </c:pt>
                <c:pt idx="2">
                  <c:v>15000</c:v>
                </c:pt>
                <c:pt idx="3">
                  <c:v>36000</c:v>
                </c:pt>
                <c:pt idx="4">
                  <c:v>45000</c:v>
                </c:pt>
                <c:pt idx="5">
                  <c:v>77000</c:v>
                </c:pt>
                <c:pt idx="6">
                  <c:v>98000</c:v>
                </c:pt>
              </c:numCache>
            </c:numRef>
          </c:val>
          <c:extLst>
            <c:ext xmlns:c16="http://schemas.microsoft.com/office/drawing/2014/chart" uri="{C3380CC4-5D6E-409C-BE32-E72D297353CC}">
              <c16:uniqueId val="{00000000-4438-4BA5-90A5-665BBCAA4903}"/>
            </c:ext>
          </c:extLst>
        </c:ser>
        <c:dLbls>
          <c:showLegendKey val="0"/>
          <c:showVal val="0"/>
          <c:showCatName val="0"/>
          <c:showSerName val="0"/>
          <c:showPercent val="0"/>
          <c:showBubbleSize val="0"/>
        </c:dLbls>
        <c:gapWidth val="30"/>
        <c:axId val="184120207"/>
        <c:axId val="184105327"/>
      </c:barChart>
      <c:catAx>
        <c:axId val="184120207"/>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84105327"/>
        <c:crosses val="autoZero"/>
        <c:auto val="1"/>
        <c:lblAlgn val="ctr"/>
        <c:lblOffset val="100"/>
        <c:noMultiLvlLbl val="0"/>
      </c:catAx>
      <c:valAx>
        <c:axId val="184105327"/>
        <c:scaling>
          <c:orientation val="minMax"/>
        </c:scaling>
        <c:delete val="0"/>
        <c:axPos val="b"/>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1202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[Sales_Dashboard_Jan_Aug_2026.xlsx]Analysis!PivotTable4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baseline="0">
                <a:solidFill>
                  <a:schemeClr val="tx1"/>
                </a:solidFill>
              </a:rPr>
              <a:t>Revenue by Payment Method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54866579177603"/>
              <c:y val="1.4880067074948964E-2"/>
            </c:manualLayout>
          </c:layout>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754866579177603"/>
              <c:y val="1.4880067074948964E-2"/>
            </c:manualLayout>
          </c:layout>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6EAF8"/>
          </a:solidFill>
          <a:ln w="19050">
            <a:solidFill>
              <a:schemeClr val="lt1"/>
            </a:solidFill>
          </a:ln>
          <a:effectLst/>
        </c:spPr>
        <c:dLbl>
          <c:idx val="0"/>
          <c:layout>
            <c:manualLayout>
              <c:x val="-7.1986720837977445E-3"/>
              <c:y val="-3.4953915644265449E-2"/>
            </c:manualLayout>
          </c:layout>
          <c:tx>
            <c:rich>
              <a:bodyPr rot="0" spcFirstLastPara="1" vertOverflow="ellipsis" vert="horz" wrap="square" lIns="38100" tIns="19050" rIns="38100" bIns="19050" anchor="ctr" anchorCtr="1">
                <a:spAutoFit/>
              </a:bodyPr>
              <a:lstStyle/>
              <a:p>
                <a:pPr>
                  <a:defRPr sz="920" b="1" i="0" u="none" strike="noStrike" kern="1200" baseline="0">
                    <a:solidFill>
                      <a:sysClr val="windowText" lastClr="000000"/>
                    </a:solidFill>
                    <a:latin typeface="+mn-lt"/>
                    <a:ea typeface="+mn-ea"/>
                    <a:cs typeface="+mn-cs"/>
                  </a:defRPr>
                </a:pPr>
                <a:fld id="{207108FC-EBBF-4278-AFEA-040B6F8A434F}" type="VALUE">
                  <a:rPr lang="en-US" baseline="0">
                    <a:solidFill>
                      <a:sysClr val="windowText" lastClr="000000"/>
                    </a:solidFill>
                  </a:rPr>
                  <a:pPr>
                    <a:defRPr sz="920" b="1">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A8DADC"/>
          </a:solidFill>
          <a:ln w="19050">
            <a:solidFill>
              <a:schemeClr val="lt1"/>
            </a:solidFill>
          </a:ln>
          <a:effectLst/>
        </c:spPr>
        <c:dLbl>
          <c:idx val="0"/>
          <c:layout>
            <c:manualLayout>
              <c:x val="-2.1346732343388582E-2"/>
              <c:y val="-9.6641989518752025E-3"/>
            </c:manualLayout>
          </c:layout>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F4F4"/>
          </a:solidFill>
          <a:ln w="19050">
            <a:solidFill>
              <a:schemeClr val="lt1"/>
            </a:solidFill>
          </a:ln>
          <a:effectLst/>
        </c:spPr>
        <c:dLbl>
          <c:idx val="0"/>
          <c:layout>
            <c:manualLayout>
              <c:x val="-1.226135260489699E-2"/>
              <c:y val="5.8268588519458375E-2"/>
            </c:manualLayout>
          </c:layout>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Analysis!$I$15</c:f>
              <c:strCache>
                <c:ptCount val="1"/>
                <c:pt idx="0">
                  <c:v>Total</c:v>
                </c:pt>
              </c:strCache>
            </c:strRef>
          </c:tx>
          <c:dPt>
            <c:idx val="0"/>
            <c:bubble3D val="0"/>
            <c:spPr>
              <a:solidFill>
                <a:srgbClr val="D6EAF8"/>
              </a:solidFill>
              <a:ln w="19050">
                <a:solidFill>
                  <a:schemeClr val="lt1"/>
                </a:solidFill>
              </a:ln>
              <a:effectLst/>
            </c:spPr>
            <c:extLst>
              <c:ext xmlns:c16="http://schemas.microsoft.com/office/drawing/2014/chart" uri="{C3380CC4-5D6E-409C-BE32-E72D297353CC}">
                <c16:uniqueId val="{00000001-FC88-4FE5-A4FB-D05BBEC2496E}"/>
              </c:ext>
            </c:extLst>
          </c:dPt>
          <c:dPt>
            <c:idx val="1"/>
            <c:bubble3D val="0"/>
            <c:spPr>
              <a:solidFill>
                <a:srgbClr val="A8DADC"/>
              </a:solidFill>
              <a:ln w="19050">
                <a:solidFill>
                  <a:schemeClr val="lt1"/>
                </a:solidFill>
              </a:ln>
              <a:effectLst/>
            </c:spPr>
            <c:extLst>
              <c:ext xmlns:c16="http://schemas.microsoft.com/office/drawing/2014/chart" uri="{C3380CC4-5D6E-409C-BE32-E72D297353CC}">
                <c16:uniqueId val="{00000003-FC88-4FE5-A4FB-D05BBEC2496E}"/>
              </c:ext>
            </c:extLst>
          </c:dPt>
          <c:dPt>
            <c:idx val="2"/>
            <c:bubble3D val="0"/>
            <c:spPr>
              <a:solidFill>
                <a:srgbClr val="F2F4F4"/>
              </a:solidFill>
              <a:ln w="19050">
                <a:solidFill>
                  <a:schemeClr val="lt1"/>
                </a:solidFill>
              </a:ln>
              <a:effectLst/>
            </c:spPr>
            <c:extLst>
              <c:ext xmlns:c16="http://schemas.microsoft.com/office/drawing/2014/chart" uri="{C3380CC4-5D6E-409C-BE32-E72D297353CC}">
                <c16:uniqueId val="{00000005-FC88-4FE5-A4FB-D05BBEC2496E}"/>
              </c:ext>
            </c:extLst>
          </c:dPt>
          <c:dLbls>
            <c:dLbl>
              <c:idx val="0"/>
              <c:layout>
                <c:manualLayout>
                  <c:x val="-7.1986720837977445E-3"/>
                  <c:y val="-3.4953915644265449E-2"/>
                </c:manualLayout>
              </c:layout>
              <c:tx>
                <c:rich>
                  <a:bodyPr/>
                  <a:lstStyle/>
                  <a:p>
                    <a:fld id="{207108FC-EBBF-4278-AFEA-040B6F8A434F}" type="VALUE">
                      <a:rPr lang="en-US" baseline="0">
                        <a:solidFill>
                          <a:sysClr val="windowText" lastClr="000000"/>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C88-4FE5-A4FB-D05BBEC2496E}"/>
                </c:ext>
              </c:extLst>
            </c:dLbl>
            <c:dLbl>
              <c:idx val="1"/>
              <c:layout>
                <c:manualLayout>
                  <c:x val="-2.1346732343388582E-2"/>
                  <c:y val="-9.664198951875202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88-4FE5-A4FB-D05BBEC2496E}"/>
                </c:ext>
              </c:extLst>
            </c:dLbl>
            <c:dLbl>
              <c:idx val="2"/>
              <c:layout>
                <c:manualLayout>
                  <c:x val="-1.226135260489699E-2"/>
                  <c:y val="5.8268588519458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88-4FE5-A4FB-D05BBEC2496E}"/>
                </c:ext>
              </c:extLst>
            </c:dLbl>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Analysis!$H$16:$H$18</c:f>
              <c:strCache>
                <c:ptCount val="3"/>
                <c:pt idx="0">
                  <c:v>Card</c:v>
                </c:pt>
                <c:pt idx="1">
                  <c:v>Cash</c:v>
                </c:pt>
                <c:pt idx="2">
                  <c:v>Transfer</c:v>
                </c:pt>
              </c:strCache>
            </c:strRef>
          </c:cat>
          <c:val>
            <c:numRef>
              <c:f>Analysis!$I$16:$I$18</c:f>
              <c:numCache>
                <c:formatCode>0.00%</c:formatCode>
                <c:ptCount val="3"/>
                <c:pt idx="0">
                  <c:v>0.4313196085048937</c:v>
                </c:pt>
                <c:pt idx="1">
                  <c:v>0.2143098211272359</c:v>
                </c:pt>
                <c:pt idx="2">
                  <c:v>0.3543705703678704</c:v>
                </c:pt>
              </c:numCache>
            </c:numRef>
          </c:val>
          <c:extLst>
            <c:ext xmlns:c16="http://schemas.microsoft.com/office/drawing/2014/chart" uri="{C3380CC4-5D6E-409C-BE32-E72D297353CC}">
              <c16:uniqueId val="{00000006-FC88-4FE5-A4FB-D05BBEC249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[Sales_Dashboard_Jan_Aug_2026.xlsx]Analysis!PivotTable3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Revenue Trend Over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3975" cap="rnd">
            <a:solidFill>
              <a:srgbClr val="D6EAF8"/>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Analysis!$I$3</c:f>
              <c:strCache>
                <c:ptCount val="1"/>
                <c:pt idx="0">
                  <c:v>Total</c:v>
                </c:pt>
              </c:strCache>
            </c:strRef>
          </c:tx>
          <c:spPr>
            <a:ln w="53975" cap="rnd">
              <a:solidFill>
                <a:srgbClr val="D6EAF8"/>
              </a:solidFill>
              <a:round/>
            </a:ln>
            <a:effectLst/>
          </c:spPr>
          <c:marker>
            <c:symbol val="circle"/>
            <c:size val="5"/>
            <c:spPr>
              <a:solidFill>
                <a:schemeClr val="accent1"/>
              </a:solidFill>
              <a:ln w="9525">
                <a:solidFill>
                  <a:schemeClr val="accent1"/>
                </a:solidFill>
              </a:ln>
              <a:effectLst/>
            </c:spPr>
          </c:marker>
          <c:cat>
            <c:strRef>
              <c:f>Analysis!$H$4:$H$11</c:f>
              <c:strCache>
                <c:ptCount val="8"/>
                <c:pt idx="0">
                  <c:v>Jan</c:v>
                </c:pt>
                <c:pt idx="1">
                  <c:v>Feb</c:v>
                </c:pt>
                <c:pt idx="2">
                  <c:v>Mar</c:v>
                </c:pt>
                <c:pt idx="3">
                  <c:v>Apr</c:v>
                </c:pt>
                <c:pt idx="4">
                  <c:v>May</c:v>
                </c:pt>
                <c:pt idx="5">
                  <c:v>Jun</c:v>
                </c:pt>
                <c:pt idx="6">
                  <c:v>Jul</c:v>
                </c:pt>
                <c:pt idx="7">
                  <c:v>Aug</c:v>
                </c:pt>
              </c:strCache>
            </c:strRef>
          </c:cat>
          <c:val>
            <c:numRef>
              <c:f>Analysis!$I$4:$I$11</c:f>
              <c:numCache>
                <c:formatCode>[$₦-46A]#,##0</c:formatCode>
                <c:ptCount val="8"/>
                <c:pt idx="0">
                  <c:v>10000</c:v>
                </c:pt>
                <c:pt idx="1">
                  <c:v>16500</c:v>
                </c:pt>
                <c:pt idx="2">
                  <c:v>63000</c:v>
                </c:pt>
                <c:pt idx="3">
                  <c:v>9000</c:v>
                </c:pt>
                <c:pt idx="4">
                  <c:v>29000</c:v>
                </c:pt>
                <c:pt idx="5">
                  <c:v>77000</c:v>
                </c:pt>
                <c:pt idx="6">
                  <c:v>59800</c:v>
                </c:pt>
                <c:pt idx="7">
                  <c:v>32000</c:v>
                </c:pt>
              </c:numCache>
            </c:numRef>
          </c:val>
          <c:smooth val="0"/>
          <c:extLst>
            <c:ext xmlns:c16="http://schemas.microsoft.com/office/drawing/2014/chart" uri="{C3380CC4-5D6E-409C-BE32-E72D297353CC}">
              <c16:uniqueId val="{00000000-EF55-4AAF-BEB6-0D6BE9F59A13}"/>
            </c:ext>
          </c:extLst>
        </c:ser>
        <c:dLbls>
          <c:showLegendKey val="0"/>
          <c:showVal val="0"/>
          <c:showCatName val="0"/>
          <c:showSerName val="0"/>
          <c:showPercent val="0"/>
          <c:showBubbleSize val="0"/>
        </c:dLbls>
        <c:marker val="1"/>
        <c:smooth val="0"/>
        <c:axId val="164248751"/>
        <c:axId val="164275151"/>
      </c:lineChart>
      <c:catAx>
        <c:axId val="16424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4275151"/>
        <c:crosses val="autoZero"/>
        <c:auto val="1"/>
        <c:lblAlgn val="ctr"/>
        <c:lblOffset val="100"/>
        <c:noMultiLvlLbl val="0"/>
      </c:catAx>
      <c:valAx>
        <c:axId val="164275151"/>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424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601980</xdr:colOff>
      <xdr:row>36</xdr:row>
      <xdr:rowOff>121920</xdr:rowOff>
    </xdr:to>
    <xdr:sp macro="" textlink="">
      <xdr:nvSpPr>
        <xdr:cNvPr id="2" name="Rectangle 1">
          <a:extLst>
            <a:ext uri="{FF2B5EF4-FFF2-40B4-BE49-F238E27FC236}">
              <a16:creationId xmlns:a16="http://schemas.microsoft.com/office/drawing/2014/main" id="{74DB21C1-FE3E-D865-0E78-2AD9D4B01212}"/>
            </a:ext>
          </a:extLst>
        </xdr:cNvPr>
        <xdr:cNvSpPr/>
      </xdr:nvSpPr>
      <xdr:spPr>
        <a:xfrm>
          <a:off x="0" y="0"/>
          <a:ext cx="9136380" cy="67056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160020</xdr:colOff>
      <xdr:row>0</xdr:row>
      <xdr:rowOff>22860</xdr:rowOff>
    </xdr:from>
    <xdr:to>
      <xdr:col>9</xdr:col>
      <xdr:colOff>160020</xdr:colOff>
      <xdr:row>2</xdr:row>
      <xdr:rowOff>0</xdr:rowOff>
    </xdr:to>
    <xdr:sp macro="" textlink="">
      <xdr:nvSpPr>
        <xdr:cNvPr id="3" name="Rectangle 2">
          <a:extLst>
            <a:ext uri="{FF2B5EF4-FFF2-40B4-BE49-F238E27FC236}">
              <a16:creationId xmlns:a16="http://schemas.microsoft.com/office/drawing/2014/main" id="{4C3E6AFC-A8FC-1838-32B0-91B2E0BA8E12}"/>
            </a:ext>
          </a:extLst>
        </xdr:cNvPr>
        <xdr:cNvSpPr/>
      </xdr:nvSpPr>
      <xdr:spPr>
        <a:xfrm>
          <a:off x="160020" y="22860"/>
          <a:ext cx="548640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Sales Performance Dashboard</a:t>
          </a:r>
          <a:endParaRPr lang="en-US" sz="1100" b="1">
            <a:solidFill>
              <a:schemeClr val="tx1"/>
            </a:solidFill>
          </a:endParaRPr>
        </a:p>
      </xdr:txBody>
    </xdr:sp>
    <xdr:clientData/>
  </xdr:twoCellAnchor>
  <xdr:twoCellAnchor>
    <xdr:from>
      <xdr:col>0</xdr:col>
      <xdr:colOff>236220</xdr:colOff>
      <xdr:row>3</xdr:row>
      <xdr:rowOff>0</xdr:rowOff>
    </xdr:from>
    <xdr:to>
      <xdr:col>4</xdr:col>
      <xdr:colOff>388620</xdr:colOff>
      <xdr:row>8</xdr:row>
      <xdr:rowOff>121920</xdr:rowOff>
    </xdr:to>
    <xdr:sp macro="" textlink="">
      <xdr:nvSpPr>
        <xdr:cNvPr id="5" name="Rectangle 4">
          <a:extLst>
            <a:ext uri="{FF2B5EF4-FFF2-40B4-BE49-F238E27FC236}">
              <a16:creationId xmlns:a16="http://schemas.microsoft.com/office/drawing/2014/main" id="{7FF75C4F-D9EF-87D5-C385-359D98187525}"/>
            </a:ext>
          </a:extLst>
        </xdr:cNvPr>
        <xdr:cNvSpPr/>
      </xdr:nvSpPr>
      <xdr:spPr>
        <a:xfrm>
          <a:off x="236220" y="548640"/>
          <a:ext cx="2590800" cy="1036320"/>
        </a:xfrm>
        <a:prstGeom prst="rect">
          <a:avLst/>
        </a:prstGeom>
        <a:solidFill>
          <a:srgbClr val="A8DAD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575310</xdr:colOff>
      <xdr:row>3</xdr:row>
      <xdr:rowOff>0</xdr:rowOff>
    </xdr:from>
    <xdr:to>
      <xdr:col>9</xdr:col>
      <xdr:colOff>118110</xdr:colOff>
      <xdr:row>8</xdr:row>
      <xdr:rowOff>121920</xdr:rowOff>
    </xdr:to>
    <xdr:sp macro="" textlink="">
      <xdr:nvSpPr>
        <xdr:cNvPr id="6" name="Rectangle 5">
          <a:extLst>
            <a:ext uri="{FF2B5EF4-FFF2-40B4-BE49-F238E27FC236}">
              <a16:creationId xmlns:a16="http://schemas.microsoft.com/office/drawing/2014/main" id="{D0627C9C-1EAC-5B17-D537-17119C84BE50}"/>
            </a:ext>
          </a:extLst>
        </xdr:cNvPr>
        <xdr:cNvSpPr/>
      </xdr:nvSpPr>
      <xdr:spPr>
        <a:xfrm>
          <a:off x="3013710" y="548640"/>
          <a:ext cx="2590800" cy="1036320"/>
        </a:xfrm>
        <a:prstGeom prst="rect">
          <a:avLst/>
        </a:prstGeom>
        <a:solidFill>
          <a:srgbClr val="A8DAD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304800</xdr:colOff>
      <xdr:row>3</xdr:row>
      <xdr:rowOff>0</xdr:rowOff>
    </xdr:from>
    <xdr:to>
      <xdr:col>13</xdr:col>
      <xdr:colOff>457200</xdr:colOff>
      <xdr:row>8</xdr:row>
      <xdr:rowOff>121920</xdr:rowOff>
    </xdr:to>
    <xdr:sp macro="" textlink="">
      <xdr:nvSpPr>
        <xdr:cNvPr id="7" name="Rectangle 6">
          <a:extLst>
            <a:ext uri="{FF2B5EF4-FFF2-40B4-BE49-F238E27FC236}">
              <a16:creationId xmlns:a16="http://schemas.microsoft.com/office/drawing/2014/main" id="{0E154110-7E5A-2BFA-9FE3-2136E49B42FB}"/>
            </a:ext>
          </a:extLst>
        </xdr:cNvPr>
        <xdr:cNvSpPr/>
      </xdr:nvSpPr>
      <xdr:spPr>
        <a:xfrm>
          <a:off x="5791200" y="548640"/>
          <a:ext cx="2590800" cy="1036320"/>
        </a:xfrm>
        <a:prstGeom prst="rect">
          <a:avLst/>
        </a:prstGeom>
        <a:solidFill>
          <a:srgbClr val="A8DAD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xdr:colOff>
      <xdr:row>3</xdr:row>
      <xdr:rowOff>91440</xdr:rowOff>
    </xdr:from>
    <xdr:to>
      <xdr:col>4</xdr:col>
      <xdr:colOff>83820</xdr:colOff>
      <xdr:row>5</xdr:row>
      <xdr:rowOff>7620</xdr:rowOff>
    </xdr:to>
    <xdr:sp macro="" textlink="">
      <xdr:nvSpPr>
        <xdr:cNvPr id="8" name="Rectangle 7">
          <a:extLst>
            <a:ext uri="{FF2B5EF4-FFF2-40B4-BE49-F238E27FC236}">
              <a16:creationId xmlns:a16="http://schemas.microsoft.com/office/drawing/2014/main" id="{F3E42ADB-93A9-E48D-E914-397893F3C8BB}"/>
            </a:ext>
          </a:extLst>
        </xdr:cNvPr>
        <xdr:cNvSpPr/>
      </xdr:nvSpPr>
      <xdr:spPr>
        <a:xfrm>
          <a:off x="1257300" y="640080"/>
          <a:ext cx="126492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Total Revenue</a:t>
          </a:r>
          <a:endParaRPr lang="en-US" sz="1100" b="1">
            <a:solidFill>
              <a:schemeClr val="tx1"/>
            </a:solidFill>
          </a:endParaRPr>
        </a:p>
      </xdr:txBody>
    </xdr:sp>
    <xdr:clientData/>
  </xdr:twoCellAnchor>
  <xdr:twoCellAnchor>
    <xdr:from>
      <xdr:col>6</xdr:col>
      <xdr:colOff>198120</xdr:colOff>
      <xdr:row>4</xdr:row>
      <xdr:rowOff>7620</xdr:rowOff>
    </xdr:from>
    <xdr:to>
      <xdr:col>8</xdr:col>
      <xdr:colOff>106680</xdr:colOff>
      <xdr:row>5</xdr:row>
      <xdr:rowOff>106680</xdr:rowOff>
    </xdr:to>
    <xdr:sp macro="" textlink="">
      <xdr:nvSpPr>
        <xdr:cNvPr id="9" name="Rectangle 8">
          <a:extLst>
            <a:ext uri="{FF2B5EF4-FFF2-40B4-BE49-F238E27FC236}">
              <a16:creationId xmlns:a16="http://schemas.microsoft.com/office/drawing/2014/main" id="{399C46CA-DCB6-BA32-98B9-045F46B7324C}"/>
            </a:ext>
          </a:extLst>
        </xdr:cNvPr>
        <xdr:cNvSpPr/>
      </xdr:nvSpPr>
      <xdr:spPr>
        <a:xfrm>
          <a:off x="3855720" y="739140"/>
          <a:ext cx="112776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Total</a:t>
          </a:r>
          <a:r>
            <a:rPr lang="en-US" sz="1400" b="1" baseline="0">
              <a:solidFill>
                <a:schemeClr val="tx1"/>
              </a:solidFill>
            </a:rPr>
            <a:t> Orders</a:t>
          </a:r>
          <a:endParaRPr lang="en-US" sz="1100" b="1">
            <a:solidFill>
              <a:schemeClr val="tx1"/>
            </a:solidFill>
          </a:endParaRPr>
        </a:p>
      </xdr:txBody>
    </xdr:sp>
    <xdr:clientData/>
  </xdr:twoCellAnchor>
  <xdr:twoCellAnchor>
    <xdr:from>
      <xdr:col>11</xdr:col>
      <xdr:colOff>114300</xdr:colOff>
      <xdr:row>3</xdr:row>
      <xdr:rowOff>137160</xdr:rowOff>
    </xdr:from>
    <xdr:to>
      <xdr:col>13</xdr:col>
      <xdr:colOff>266700</xdr:colOff>
      <xdr:row>5</xdr:row>
      <xdr:rowOff>53340</xdr:rowOff>
    </xdr:to>
    <xdr:sp macro="" textlink="">
      <xdr:nvSpPr>
        <xdr:cNvPr id="11" name="Rectangle 10">
          <a:extLst>
            <a:ext uri="{FF2B5EF4-FFF2-40B4-BE49-F238E27FC236}">
              <a16:creationId xmlns:a16="http://schemas.microsoft.com/office/drawing/2014/main" id="{0A0C5C51-B660-F1DE-8F95-B2E921BCDF5C}"/>
            </a:ext>
          </a:extLst>
        </xdr:cNvPr>
        <xdr:cNvSpPr/>
      </xdr:nvSpPr>
      <xdr:spPr>
        <a:xfrm>
          <a:off x="6819900" y="685800"/>
          <a:ext cx="137160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Avg</a:t>
          </a:r>
          <a:r>
            <a:rPr lang="en-US" sz="1400" b="1" baseline="0">
              <a:solidFill>
                <a:schemeClr val="tx1"/>
              </a:solidFill>
            </a:rPr>
            <a:t> Order Value</a:t>
          </a:r>
          <a:endParaRPr lang="en-US" sz="1100" b="1">
            <a:solidFill>
              <a:schemeClr val="tx1"/>
            </a:solidFill>
          </a:endParaRPr>
        </a:p>
      </xdr:txBody>
    </xdr:sp>
    <xdr:clientData/>
  </xdr:twoCellAnchor>
  <xdr:twoCellAnchor>
    <xdr:from>
      <xdr:col>2</xdr:col>
      <xdr:colOff>53340</xdr:colOff>
      <xdr:row>5</xdr:row>
      <xdr:rowOff>30480</xdr:rowOff>
    </xdr:from>
    <xdr:to>
      <xdr:col>4</xdr:col>
      <xdr:colOff>266700</xdr:colOff>
      <xdr:row>7</xdr:row>
      <xdr:rowOff>68580</xdr:rowOff>
    </xdr:to>
    <xdr:sp macro="" textlink="Analysis!L3">
      <xdr:nvSpPr>
        <xdr:cNvPr id="12" name="Rectangle 11">
          <a:extLst>
            <a:ext uri="{FF2B5EF4-FFF2-40B4-BE49-F238E27FC236}">
              <a16:creationId xmlns:a16="http://schemas.microsoft.com/office/drawing/2014/main" id="{0C4F8FCA-7939-22FF-0481-EFD618553024}"/>
            </a:ext>
          </a:extLst>
        </xdr:cNvPr>
        <xdr:cNvSpPr/>
      </xdr:nvSpPr>
      <xdr:spPr>
        <a:xfrm>
          <a:off x="1272540" y="944880"/>
          <a:ext cx="1432560" cy="4038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B92DD2C-190C-4AA1-93E8-29827DB3F232}" type="TxLink">
            <a:rPr lang="en-US" sz="2400" b="1" i="0" u="none" strike="noStrike">
              <a:solidFill>
                <a:srgbClr val="000000"/>
              </a:solidFill>
              <a:latin typeface="Aptos Narrow"/>
            </a:rPr>
            <a:pPr algn="l"/>
            <a:t>₦296,300</a:t>
          </a:fld>
          <a:endParaRPr lang="en-US" sz="2400"/>
        </a:p>
      </xdr:txBody>
    </xdr:sp>
    <xdr:clientData/>
  </xdr:twoCellAnchor>
  <xdr:twoCellAnchor>
    <xdr:from>
      <xdr:col>6</xdr:col>
      <xdr:colOff>350520</xdr:colOff>
      <xdr:row>5</xdr:row>
      <xdr:rowOff>91440</xdr:rowOff>
    </xdr:from>
    <xdr:to>
      <xdr:col>7</xdr:col>
      <xdr:colOff>381000</xdr:colOff>
      <xdr:row>7</xdr:row>
      <xdr:rowOff>167640</xdr:rowOff>
    </xdr:to>
    <xdr:sp macro="" textlink="Analysis!L4">
      <xdr:nvSpPr>
        <xdr:cNvPr id="13" name="Rectangle 12">
          <a:extLst>
            <a:ext uri="{FF2B5EF4-FFF2-40B4-BE49-F238E27FC236}">
              <a16:creationId xmlns:a16="http://schemas.microsoft.com/office/drawing/2014/main" id="{2A4ACB11-078B-A5B3-AD1D-E3CDE81356DD}"/>
            </a:ext>
          </a:extLst>
        </xdr:cNvPr>
        <xdr:cNvSpPr/>
      </xdr:nvSpPr>
      <xdr:spPr>
        <a:xfrm>
          <a:off x="4008120" y="1005840"/>
          <a:ext cx="640080" cy="441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1F5590B-0335-4AE7-B3C6-20428FA060A2}" type="TxLink">
            <a:rPr lang="en-US" sz="2400" b="1" i="0" u="none" strike="noStrike">
              <a:solidFill>
                <a:srgbClr val="000000"/>
              </a:solidFill>
              <a:latin typeface="Aptos Narrow"/>
            </a:rPr>
            <a:pPr algn="l"/>
            <a:t>15</a:t>
          </a:fld>
          <a:endParaRPr lang="en-US" sz="2400"/>
        </a:p>
      </xdr:txBody>
    </xdr:sp>
    <xdr:clientData/>
  </xdr:twoCellAnchor>
  <xdr:twoCellAnchor>
    <xdr:from>
      <xdr:col>11</xdr:col>
      <xdr:colOff>152400</xdr:colOff>
      <xdr:row>5</xdr:row>
      <xdr:rowOff>30480</xdr:rowOff>
    </xdr:from>
    <xdr:to>
      <xdr:col>13</xdr:col>
      <xdr:colOff>182880</xdr:colOff>
      <xdr:row>7</xdr:row>
      <xdr:rowOff>83820</xdr:rowOff>
    </xdr:to>
    <xdr:sp macro="" textlink="Analysis!L5">
      <xdr:nvSpPr>
        <xdr:cNvPr id="14" name="Rectangle 13">
          <a:extLst>
            <a:ext uri="{FF2B5EF4-FFF2-40B4-BE49-F238E27FC236}">
              <a16:creationId xmlns:a16="http://schemas.microsoft.com/office/drawing/2014/main" id="{02972957-1911-9AF0-08AD-193C30CFCE53}"/>
            </a:ext>
          </a:extLst>
        </xdr:cNvPr>
        <xdr:cNvSpPr/>
      </xdr:nvSpPr>
      <xdr:spPr>
        <a:xfrm>
          <a:off x="6858000" y="944880"/>
          <a:ext cx="124968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176F3EE-2F39-4B3D-936A-3C0E74EBCE81}" type="TxLink">
            <a:rPr lang="en-US" sz="2400" b="1" i="0" u="none" strike="noStrike">
              <a:solidFill>
                <a:srgbClr val="000000"/>
              </a:solidFill>
              <a:latin typeface="Aptos Narrow"/>
            </a:rPr>
            <a:pPr algn="l"/>
            <a:t>₦19,753</a:t>
          </a:fld>
          <a:endParaRPr lang="en-US" sz="2400"/>
        </a:p>
      </xdr:txBody>
    </xdr:sp>
    <xdr:clientData/>
  </xdr:twoCellAnchor>
  <xdr:twoCellAnchor editAs="oneCell">
    <xdr:from>
      <xdr:col>4</xdr:col>
      <xdr:colOff>563880</xdr:colOff>
      <xdr:row>3</xdr:row>
      <xdr:rowOff>76200</xdr:rowOff>
    </xdr:from>
    <xdr:to>
      <xdr:col>6</xdr:col>
      <xdr:colOff>259080</xdr:colOff>
      <xdr:row>8</xdr:row>
      <xdr:rowOff>83820</xdr:rowOff>
    </xdr:to>
    <xdr:pic>
      <xdr:nvPicPr>
        <xdr:cNvPr id="16" name="Graphic 15" descr="Settings outline">
          <a:extLst>
            <a:ext uri="{FF2B5EF4-FFF2-40B4-BE49-F238E27FC236}">
              <a16:creationId xmlns:a16="http://schemas.microsoft.com/office/drawing/2014/main" id="{D094A2EB-70A4-5AED-3D54-874F750EDC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02280" y="624840"/>
          <a:ext cx="914400" cy="922020"/>
        </a:xfrm>
        <a:prstGeom prst="rect">
          <a:avLst/>
        </a:prstGeom>
      </xdr:spPr>
    </xdr:pic>
    <xdr:clientData/>
  </xdr:twoCellAnchor>
  <xdr:twoCellAnchor editAs="oneCell">
    <xdr:from>
      <xdr:col>9</xdr:col>
      <xdr:colOff>358140</xdr:colOff>
      <xdr:row>3</xdr:row>
      <xdr:rowOff>45720</xdr:rowOff>
    </xdr:from>
    <xdr:to>
      <xdr:col>11</xdr:col>
      <xdr:colOff>127140</xdr:colOff>
      <xdr:row>8</xdr:row>
      <xdr:rowOff>119520</xdr:rowOff>
    </xdr:to>
    <xdr:pic>
      <xdr:nvPicPr>
        <xdr:cNvPr id="18" name="Graphic 17" descr="Coins outline">
          <a:extLst>
            <a:ext uri="{FF2B5EF4-FFF2-40B4-BE49-F238E27FC236}">
              <a16:creationId xmlns:a16="http://schemas.microsoft.com/office/drawing/2014/main" id="{433C8849-32D0-660C-8815-F29A15383B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44540" y="594360"/>
          <a:ext cx="988200" cy="988200"/>
        </a:xfrm>
        <a:prstGeom prst="rect">
          <a:avLst/>
        </a:prstGeom>
      </xdr:spPr>
    </xdr:pic>
    <xdr:clientData/>
  </xdr:twoCellAnchor>
  <xdr:twoCellAnchor editAs="oneCell">
    <xdr:from>
      <xdr:col>0</xdr:col>
      <xdr:colOff>231420</xdr:colOff>
      <xdr:row>3</xdr:row>
      <xdr:rowOff>117120</xdr:rowOff>
    </xdr:from>
    <xdr:to>
      <xdr:col>1</xdr:col>
      <xdr:colOff>536220</xdr:colOff>
      <xdr:row>8</xdr:row>
      <xdr:rowOff>117120</xdr:rowOff>
    </xdr:to>
    <xdr:pic>
      <xdr:nvPicPr>
        <xdr:cNvPr id="20" name="Graphic 19" descr="Bar graph with upward trend outline">
          <a:extLst>
            <a:ext uri="{FF2B5EF4-FFF2-40B4-BE49-F238E27FC236}">
              <a16:creationId xmlns:a16="http://schemas.microsoft.com/office/drawing/2014/main" id="{149017DA-0BF8-04DF-49EE-14E1556D255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1420" y="665760"/>
          <a:ext cx="914400" cy="914400"/>
        </a:xfrm>
        <a:prstGeom prst="rect">
          <a:avLst/>
        </a:prstGeom>
      </xdr:spPr>
    </xdr:pic>
    <xdr:clientData/>
  </xdr:twoCellAnchor>
  <xdr:twoCellAnchor>
    <xdr:from>
      <xdr:col>2</xdr:col>
      <xdr:colOff>335280</xdr:colOff>
      <xdr:row>10</xdr:row>
      <xdr:rowOff>83820</xdr:rowOff>
    </xdr:from>
    <xdr:to>
      <xdr:col>7</xdr:col>
      <xdr:colOff>579120</xdr:colOff>
      <xdr:row>23</xdr:row>
      <xdr:rowOff>30480</xdr:rowOff>
    </xdr:to>
    <xdr:graphicFrame macro="">
      <xdr:nvGraphicFramePr>
        <xdr:cNvPr id="21" name="Chart 20">
          <a:extLst>
            <a:ext uri="{FF2B5EF4-FFF2-40B4-BE49-F238E27FC236}">
              <a16:creationId xmlns:a16="http://schemas.microsoft.com/office/drawing/2014/main" id="{56F4B8CE-AF21-4033-B5E1-70E9905A8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22860</xdr:colOff>
      <xdr:row>10</xdr:row>
      <xdr:rowOff>83820</xdr:rowOff>
    </xdr:from>
    <xdr:to>
      <xdr:col>14</xdr:col>
      <xdr:colOff>403860</xdr:colOff>
      <xdr:row>23</xdr:row>
      <xdr:rowOff>19050</xdr:rowOff>
    </xdr:to>
    <xdr:graphicFrame macro="">
      <xdr:nvGraphicFramePr>
        <xdr:cNvPr id="22" name="Chart 21">
          <a:extLst>
            <a:ext uri="{FF2B5EF4-FFF2-40B4-BE49-F238E27FC236}">
              <a16:creationId xmlns:a16="http://schemas.microsoft.com/office/drawing/2014/main" id="{6E8DC88E-9555-4EE3-BF0E-2AFD55E1B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342900</xdr:colOff>
      <xdr:row>23</xdr:row>
      <xdr:rowOff>91440</xdr:rowOff>
    </xdr:from>
    <xdr:to>
      <xdr:col>7</xdr:col>
      <xdr:colOff>586740</xdr:colOff>
      <xdr:row>36</xdr:row>
      <xdr:rowOff>7620</xdr:rowOff>
    </xdr:to>
    <xdr:graphicFrame macro="">
      <xdr:nvGraphicFramePr>
        <xdr:cNvPr id="23" name="Chart 22">
          <a:extLst>
            <a:ext uri="{FF2B5EF4-FFF2-40B4-BE49-F238E27FC236}">
              <a16:creationId xmlns:a16="http://schemas.microsoft.com/office/drawing/2014/main" id="{F369E236-CAC7-4CD2-8389-048382BE5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38100</xdr:colOff>
      <xdr:row>23</xdr:row>
      <xdr:rowOff>91440</xdr:rowOff>
    </xdr:from>
    <xdr:to>
      <xdr:col>14</xdr:col>
      <xdr:colOff>411480</xdr:colOff>
      <xdr:row>36</xdr:row>
      <xdr:rowOff>7620</xdr:rowOff>
    </xdr:to>
    <xdr:graphicFrame macro="">
      <xdr:nvGraphicFramePr>
        <xdr:cNvPr id="24" name="Chart 23">
          <a:extLst>
            <a:ext uri="{FF2B5EF4-FFF2-40B4-BE49-F238E27FC236}">
              <a16:creationId xmlns:a16="http://schemas.microsoft.com/office/drawing/2014/main" id="{66989157-C0C6-47DC-A282-F345C4208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0</xdr:col>
      <xdr:colOff>0</xdr:colOff>
      <xdr:row>10</xdr:row>
      <xdr:rowOff>106680</xdr:rowOff>
    </xdr:from>
    <xdr:to>
      <xdr:col>2</xdr:col>
      <xdr:colOff>213360</xdr:colOff>
      <xdr:row>23</xdr:row>
      <xdr:rowOff>99060</xdr:rowOff>
    </xdr:to>
    <mc:AlternateContent xmlns:mc="http://schemas.openxmlformats.org/markup-compatibility/2006" xmlns:a14="http://schemas.microsoft.com/office/drawing/2010/main">
      <mc:Choice Requires="a14">
        <xdr:graphicFrame macro="">
          <xdr:nvGraphicFramePr>
            <xdr:cNvPr id="25" name="City">
              <a:extLst>
                <a:ext uri="{FF2B5EF4-FFF2-40B4-BE49-F238E27FC236}">
                  <a16:creationId xmlns:a16="http://schemas.microsoft.com/office/drawing/2014/main" id="{AAED7FA0-AECD-4DB7-8677-6BED77783EF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935480"/>
              <a:ext cx="1432560" cy="2369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24</xdr:row>
      <xdr:rowOff>45721</xdr:rowOff>
    </xdr:from>
    <xdr:to>
      <xdr:col>2</xdr:col>
      <xdr:colOff>198120</xdr:colOff>
      <xdr:row>32</xdr:row>
      <xdr:rowOff>76200</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4E05F846-0DCE-43F4-9762-0E5CB27E36B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434841"/>
              <a:ext cx="1417320" cy="1493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160020</xdr:colOff>
      <xdr:row>1</xdr:row>
      <xdr:rowOff>83820</xdr:rowOff>
    </xdr:from>
    <xdr:to>
      <xdr:col>5</xdr:col>
      <xdr:colOff>182880</xdr:colOff>
      <xdr:row>2</xdr:row>
      <xdr:rowOff>129540</xdr:rowOff>
    </xdr:to>
    <xdr:sp macro="" textlink="">
      <xdr:nvSpPr>
        <xdr:cNvPr id="4" name="Rectangle 3">
          <a:extLst>
            <a:ext uri="{FF2B5EF4-FFF2-40B4-BE49-F238E27FC236}">
              <a16:creationId xmlns:a16="http://schemas.microsoft.com/office/drawing/2014/main" id="{EA42E3AB-4A74-AFF5-1835-1B1CA4939ABC}"/>
            </a:ext>
          </a:extLst>
        </xdr:cNvPr>
        <xdr:cNvSpPr/>
      </xdr:nvSpPr>
      <xdr:spPr>
        <a:xfrm>
          <a:off x="160020" y="266700"/>
          <a:ext cx="307086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1">
              <a:solidFill>
                <a:schemeClr val="tx1">
                  <a:lumMod val="65000"/>
                  <a:lumOff val="35000"/>
                </a:schemeClr>
              </a:solidFill>
            </a:rPr>
            <a:t>Sales</a:t>
          </a:r>
          <a:r>
            <a:rPr lang="en-US" sz="1200" b="1" i="1" baseline="0">
              <a:solidFill>
                <a:schemeClr val="tx1">
                  <a:lumMod val="65000"/>
                  <a:lumOff val="35000"/>
                </a:schemeClr>
              </a:solidFill>
            </a:rPr>
            <a:t> Overview</a:t>
          </a:r>
          <a:r>
            <a:rPr lang="en-US" sz="1200" b="1" baseline="0">
              <a:solidFill>
                <a:schemeClr val="tx1">
                  <a:lumMod val="65000"/>
                  <a:lumOff val="35000"/>
                </a:schemeClr>
              </a:solidFill>
            </a:rPr>
            <a:t> </a:t>
          </a:r>
          <a:r>
            <a:rPr lang="en-US" sz="1200" b="1" i="1" baseline="0">
              <a:solidFill>
                <a:schemeClr val="tx1">
                  <a:lumMod val="65000"/>
                  <a:lumOff val="35000"/>
                </a:schemeClr>
              </a:solidFill>
            </a:rPr>
            <a:t>/ Jan - Aug 2026</a:t>
          </a:r>
          <a:endParaRPr lang="en-US" sz="1100" b="1" i="1">
            <a:solidFill>
              <a:schemeClr val="tx1">
                <a:lumMod val="65000"/>
                <a:lumOff val="35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8.630993287035" createdVersion="8" refreshedVersion="8" minRefreshableVersion="3" recordCount="15" xr:uid="{47D8DD99-6B1D-4761-A413-10D05BEBD771}">
  <cacheSource type="worksheet">
    <worksheetSource ref="A1:L16" sheet="Raw Data"/>
  </cacheSource>
  <cacheFields count="14">
    <cacheField name="Order ID" numFmtId="0">
      <sharedItems containsSemiMixedTypes="0" containsString="0" containsNumber="1" containsInteger="1" minValue="1001" maxValue="1015"/>
    </cacheField>
    <cacheField name="Customer Name" numFmtId="0">
      <sharedItems/>
    </cacheField>
    <cacheField name="Email" numFmtId="0">
      <sharedItems/>
    </cacheField>
    <cacheField name="Phone" numFmtId="49">
      <sharedItems/>
    </cacheField>
    <cacheField name="City" numFmtId="0">
      <sharedItems count="7">
        <s v="Lagos"/>
        <s v="Abuja"/>
        <s v="Ibadan"/>
        <s v="Kano"/>
        <s v="Enugu"/>
        <s v="Owerri"/>
        <s v="Kaduna"/>
      </sharedItems>
    </cacheField>
    <cacheField name="Product" numFmtId="0">
      <sharedItems/>
    </cacheField>
    <cacheField name="Category" numFmtId="0">
      <sharedItems count="4">
        <s v="Electronics"/>
        <s v="Accessories"/>
        <s v="Furniture"/>
        <s v="Stationery"/>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800" maxValue="65000"/>
    </cacheField>
    <cacheField name="Order Date" numFmtId="14">
      <sharedItems containsSemiMixedTypes="0" containsNonDate="0" containsDate="1" containsString="0" minDate="2026-01-03T00:00:00" maxDate="2026-08-04T00:00:00" count="8">
        <d v="2026-01-03T00:00:00"/>
        <d v="2026-02-03T00:00:00"/>
        <d v="2026-03-03T00:00:00"/>
        <d v="2026-04-03T00:00:00"/>
        <d v="2026-05-03T00:00:00"/>
        <d v="2026-06-03T00:00:00"/>
        <d v="2026-07-03T00:00:00"/>
        <d v="2026-08-03T00:00:00"/>
      </sharedItems>
      <fieldGroup par="13"/>
    </cacheField>
    <cacheField name="Payment Method" numFmtId="0">
      <sharedItems count="3">
        <s v="Card"/>
        <s v="Transfer"/>
        <s v="Cash"/>
      </sharedItems>
    </cacheField>
    <cacheField name="Total Sales" numFmtId="0">
      <sharedItems containsSemiMixedTypes="0" containsString="0" containsNumber="1" containsInteger="1" minValue="4000" maxValue="65000"/>
    </cacheField>
    <cacheField name="Days (Order Date)" numFmtId="0" databaseField="0">
      <fieldGroup base="9">
        <rangePr groupBy="days" startDate="2026-01-03T00:00:00" endDate="2026-08-04T00:00:00"/>
        <groupItems count="368">
          <s v="&lt;1/3/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4/2026"/>
        </groupItems>
      </fieldGroup>
    </cacheField>
    <cacheField name="Months (Order Date)" numFmtId="0" databaseField="0">
      <fieldGroup base="9">
        <rangePr groupBy="months" startDate="2026-01-03T00:00:00" endDate="2026-08-04T00:00:00"/>
        <groupItems count="14">
          <s v="&lt;1/3/2026"/>
          <s v="Jan"/>
          <s v="Feb"/>
          <s v="Mar"/>
          <s v="Apr"/>
          <s v="May"/>
          <s v="Jun"/>
          <s v="Jul"/>
          <s v="Aug"/>
          <s v="Sep"/>
          <s v="Oct"/>
          <s v="Nov"/>
          <s v="Dec"/>
          <s v="&gt;8/4/2026"/>
        </groupItems>
      </fieldGroup>
    </cacheField>
  </cacheFields>
  <extLst>
    <ext xmlns:x14="http://schemas.microsoft.com/office/spreadsheetml/2009/9/main" uri="{725AE2AE-9491-48be-B2B4-4EB974FC3084}">
      <x14:pivotCacheDefinition pivotCacheId="1253806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s v="John Doe"/>
    <s v="johndoe@email.com"/>
    <s v="08034567891"/>
    <x v="0"/>
    <s v="Wireless Mouse"/>
    <x v="0"/>
    <n v="2"/>
    <n v="5000"/>
    <x v="0"/>
    <x v="0"/>
    <n v="10000"/>
  </r>
  <r>
    <n v="1002"/>
    <s v="Jane Smith"/>
    <s v="janesmith@email.com"/>
    <s v="08123456789"/>
    <x v="1"/>
    <s v="Laptop Stand"/>
    <x v="1"/>
    <n v="1"/>
    <n v="12000"/>
    <x v="1"/>
    <x v="1"/>
    <n v="12000"/>
  </r>
  <r>
    <n v="1003"/>
    <s v="Michael Johnson"/>
    <s v="michaelj@email.com"/>
    <s v="07012345678"/>
    <x v="2"/>
    <s v="USB Cable"/>
    <x v="0"/>
    <n v="3"/>
    <n v="1500"/>
    <x v="1"/>
    <x v="2"/>
    <n v="4500"/>
  </r>
  <r>
    <n v="1004"/>
    <s v="Grace Lee"/>
    <s v="gracelee@email.com"/>
    <s v="08087654321"/>
    <x v="0"/>
    <s v="Bluetooth Speaker"/>
    <x v="0"/>
    <n v="1"/>
    <n v="18000"/>
    <x v="2"/>
    <x v="0"/>
    <n v="18000"/>
  </r>
  <r>
    <n v="1005"/>
    <s v="David Brown"/>
    <s v="davidbrown@email.com"/>
    <s v="08111111111"/>
    <x v="3"/>
    <s v="Office Chair"/>
    <x v="2"/>
    <n v="1"/>
    <n v="45000"/>
    <x v="2"/>
    <x v="1"/>
    <n v="45000"/>
  </r>
  <r>
    <n v="1006"/>
    <s v="John Doe"/>
    <s v="johndoe@email.com"/>
    <s v="08034567891"/>
    <x v="0"/>
    <s v="Wireless Mouse"/>
    <x v="0"/>
    <n v="1"/>
    <n v="5000"/>
    <x v="3"/>
    <x v="0"/>
    <n v="5000"/>
  </r>
  <r>
    <n v="1007"/>
    <s v="Sarah Adams"/>
    <s v="sarahadams@email.com"/>
    <s v="09022223333"/>
    <x v="2"/>
    <s v="Notebook"/>
    <x v="3"/>
    <n v="5"/>
    <n v="800"/>
    <x v="3"/>
    <x v="2"/>
    <n v="4000"/>
  </r>
  <r>
    <n v="1008"/>
    <s v="Peter Obi"/>
    <s v="peterobi@email.com"/>
    <s v="08099998888"/>
    <x v="4"/>
    <s v="Desk Lamp"/>
    <x v="1"/>
    <n v="2"/>
    <n v="7000"/>
    <x v="4"/>
    <x v="1"/>
    <n v="14000"/>
  </r>
  <r>
    <n v="1009"/>
    <s v="Chioma Okafor"/>
    <s v="chiomaokafor@email.com"/>
    <s v="08155556666"/>
    <x v="5"/>
    <s v="Power Bank"/>
    <x v="0"/>
    <n v="1"/>
    <n v="15000"/>
    <x v="4"/>
    <x v="0"/>
    <n v="15000"/>
  </r>
  <r>
    <n v="1010"/>
    <s v="Emeka Nwosu"/>
    <s v="emekanwosu@email"/>
    <s v="07077778888"/>
    <x v="1"/>
    <s v="Monitor"/>
    <x v="0"/>
    <n v="1"/>
    <n v="65000"/>
    <x v="5"/>
    <x v="0"/>
    <n v="65000"/>
  </r>
  <r>
    <n v="1011"/>
    <s v="Aisha Bello"/>
    <s v="aishabello@email.com"/>
    <s v="08033334444"/>
    <x v="6"/>
    <s v="Keyboard"/>
    <x v="0"/>
    <n v="2"/>
    <n v="6000"/>
    <x v="5"/>
    <x v="1"/>
    <n v="12000"/>
  </r>
  <r>
    <n v="1012"/>
    <s v="Tunde Bakare"/>
    <s v="tundeb@email.com"/>
    <s v="08122221111"/>
    <x v="0"/>
    <s v="Office Desk"/>
    <x v="2"/>
    <n v="1"/>
    <n v="55000"/>
    <x v="6"/>
    <x v="2"/>
    <n v="55000"/>
  </r>
  <r>
    <n v="1013"/>
    <s v="Mary James"/>
    <s v="maryjames@email.com"/>
    <s v="09011112222"/>
    <x v="2"/>
    <s v="Pen Pack"/>
    <x v="3"/>
    <n v="4"/>
    <n v="1200"/>
    <x v="6"/>
    <x v="0"/>
    <n v="4800"/>
  </r>
  <r>
    <n v="1014"/>
    <s v="Paul Okoye"/>
    <s v="paulokoye@email.com"/>
    <s v="08044445555"/>
    <x v="4"/>
    <s v="Headphones"/>
    <x v="0"/>
    <n v="1"/>
    <n v="22000"/>
    <x v="7"/>
    <x v="1"/>
    <n v="22000"/>
  </r>
  <r>
    <n v="1015"/>
    <s v="John Doe"/>
    <s v="johndoe@email.com"/>
    <s v="08034567891"/>
    <x v="0"/>
    <s v="Wireless Mouse"/>
    <x v="0"/>
    <n v="2"/>
    <n v="5000"/>
    <x v="7"/>
    <x v="0"/>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DA6C1B-02BB-4F5F-B8A1-2ED8CC92C90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H3:I11" firstHeaderRow="1" firstDataRow="1" firstDataCol="1"/>
  <pivotFields count="14">
    <pivotField compact="0" outline="0" showAll="0"/>
    <pivotField compact="0" outline="0" showAll="0"/>
    <pivotField compact="0" outline="0" showAll="0"/>
    <pivotField compact="0" outline="0" showAll="0"/>
    <pivotField compact="0" outline="0" showAll="0">
      <items count="8">
        <item x="1"/>
        <item x="4"/>
        <item x="2"/>
        <item x="6"/>
        <item x="3"/>
        <item x="0"/>
        <item x="5"/>
        <item t="default"/>
      </items>
    </pivotField>
    <pivotField compact="0" outline="0" showAll="0"/>
    <pivotField compact="0" outline="0" showAll="0">
      <items count="5">
        <item x="1"/>
        <item x="0"/>
        <item x="2"/>
        <item x="3"/>
        <item t="default"/>
      </items>
    </pivotField>
    <pivotField compact="0" outline="0" showAll="0"/>
    <pivotField compact="0" outline="0" showAll="0"/>
    <pivotField compact="0" numFmtId="14" outline="0" showAll="0">
      <items count="9">
        <item x="0"/>
        <item x="1"/>
        <item x="2"/>
        <item x="3"/>
        <item x="4"/>
        <item x="5"/>
        <item x="6"/>
        <item x="7"/>
        <item t="default"/>
      </items>
    </pivotField>
    <pivotField compact="0" outline="0" showAll="0"/>
    <pivotField dataField="1"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8">
    <i>
      <x v="1"/>
    </i>
    <i>
      <x v="2"/>
    </i>
    <i>
      <x v="3"/>
    </i>
    <i>
      <x v="4"/>
    </i>
    <i>
      <x v="5"/>
    </i>
    <i>
      <x v="6"/>
    </i>
    <i>
      <x v="7"/>
    </i>
    <i>
      <x v="8"/>
    </i>
  </rowItems>
  <colItems count="1">
    <i/>
  </colItems>
  <dataFields count="1">
    <dataField name="Sum of Total Sales" fld="11" baseField="0" baseItem="0" numFmtId="164"/>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07FECF-1F21-436D-B37D-BBAF29D7557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D3:E7" firstHeaderRow="1" firstDataRow="1" firstDataCol="1"/>
  <pivotFields count="14">
    <pivotField compact="0" outline="0" showAll="0"/>
    <pivotField compact="0" outline="0" showAll="0"/>
    <pivotField compact="0" outline="0" showAll="0"/>
    <pivotField compact="0" outline="0" showAll="0"/>
    <pivotField compact="0" outline="0" showAll="0">
      <items count="8">
        <item x="1"/>
        <item x="4"/>
        <item x="2"/>
        <item x="6"/>
        <item x="3"/>
        <item x="0"/>
        <item x="5"/>
        <item t="default"/>
      </items>
    </pivotField>
    <pivotField compact="0" outline="0" showAll="0"/>
    <pivotField axis="axisRow" compact="0" outline="0"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4" outline="0" showAll="0">
      <items count="9">
        <item x="0"/>
        <item x="1"/>
        <item x="2"/>
        <item x="3"/>
        <item x="4"/>
        <item x="5"/>
        <item x="6"/>
        <item x="7"/>
        <item t="default"/>
      </items>
    </pivotField>
    <pivotField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4">
    <i>
      <x v="1"/>
    </i>
    <i>
      <x v="2"/>
    </i>
    <i>
      <x/>
    </i>
    <i>
      <x v="3"/>
    </i>
  </rowItems>
  <colItems count="1">
    <i/>
  </colItems>
  <dataFields count="1">
    <dataField name="Sum of Total Sales" fld="11" baseField="0" baseItem="0" numFmtId="164"/>
  </dataFields>
  <formats count="1">
    <format dxfId="5">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18D0C7-A97B-4A38-8ED9-9B9D6B52BAB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B10" firstHeaderRow="1" firstDataRow="1" firstDataCol="1"/>
  <pivotFields count="14">
    <pivotField compact="0" outline="0" showAll="0"/>
    <pivotField compact="0" outline="0" showAll="0"/>
    <pivotField compact="0" outline="0" showAll="0"/>
    <pivotField compact="0" outline="0" showAll="0"/>
    <pivotField axis="axisRow" compact="0" outline="0" showAll="0" sortType="ascending">
      <items count="8">
        <item x="1"/>
        <item x="4"/>
        <item x="2"/>
        <item x="6"/>
        <item x="3"/>
        <item x="0"/>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x="1"/>
        <item x="0"/>
        <item x="2"/>
        <item x="3"/>
        <item t="default"/>
      </items>
    </pivotField>
    <pivotField compact="0" outline="0" showAll="0"/>
    <pivotField compact="0" outline="0" showAll="0"/>
    <pivotField compact="0" numFmtId="14" outline="0" showAll="0">
      <items count="9">
        <item x="0"/>
        <item x="1"/>
        <item x="2"/>
        <item x="3"/>
        <item x="4"/>
        <item x="5"/>
        <item x="6"/>
        <item x="7"/>
        <item t="default"/>
      </items>
    </pivotField>
    <pivotField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4"/>
  </rowFields>
  <rowItems count="7">
    <i>
      <x v="3"/>
    </i>
    <i>
      <x v="2"/>
    </i>
    <i>
      <x v="6"/>
    </i>
    <i>
      <x v="1"/>
    </i>
    <i>
      <x v="4"/>
    </i>
    <i>
      <x/>
    </i>
    <i>
      <x v="5"/>
    </i>
  </rowItems>
  <colItems count="1">
    <i/>
  </colItems>
  <dataFields count="1">
    <dataField name="Sum of Total Sales" fld="11" baseField="0" baseItem="0" numFmtId="164"/>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522C70-7867-46E3-9F3B-E146994423B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H15:I18" firstHeaderRow="1" firstDataRow="1" firstDataCol="1"/>
  <pivotFields count="14">
    <pivotField compact="0" outline="0" showAll="0"/>
    <pivotField compact="0" outline="0" showAll="0"/>
    <pivotField compact="0" outline="0" showAll="0"/>
    <pivotField compact="0" outline="0" showAll="0"/>
    <pivotField compact="0" outline="0" showAll="0">
      <items count="8">
        <item x="1"/>
        <item x="4"/>
        <item x="2"/>
        <item x="6"/>
        <item x="3"/>
        <item x="0"/>
        <item x="5"/>
        <item t="default"/>
      </items>
    </pivotField>
    <pivotField compact="0" outline="0" showAll="0"/>
    <pivotField compact="0" outline="0" showAll="0">
      <items count="5">
        <item x="1"/>
        <item x="0"/>
        <item x="2"/>
        <item x="3"/>
        <item t="default"/>
      </items>
    </pivotField>
    <pivotField compact="0" outline="0" showAll="0"/>
    <pivotField compact="0" outline="0" showAll="0"/>
    <pivotField compact="0" numFmtId="14" outline="0" showAll="0">
      <items count="9">
        <item x="0"/>
        <item x="1"/>
        <item x="2"/>
        <item x="3"/>
        <item x="4"/>
        <item x="5"/>
        <item x="6"/>
        <item x="7"/>
        <item t="default"/>
      </items>
    </pivotField>
    <pivotField axis="axisRow" compact="0" outline="0" showAll="0">
      <items count="4">
        <item x="0"/>
        <item x="2"/>
        <item x="1"/>
        <item t="default"/>
      </items>
    </pivotField>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0"/>
  </rowFields>
  <rowItems count="3">
    <i>
      <x/>
    </i>
    <i>
      <x v="1"/>
    </i>
    <i>
      <x v="2"/>
    </i>
  </rowItems>
  <colItems count="1">
    <i/>
  </colItems>
  <dataFields count="1">
    <dataField name="Sum of Total Sales" fld="11" showDataAs="percentOfTotal" baseField="10" baseItem="0" numFmtId="10"/>
  </dataFields>
  <formats count="2">
    <format dxfId="8">
      <pivotArea outline="0" fieldPosition="0">
        <references count="1">
          <reference field="10" count="1" selected="0">
            <x v="0"/>
          </reference>
        </references>
      </pivotArea>
    </format>
    <format dxfId="7">
      <pivotArea outline="0" fieldPosition="0">
        <references count="1">
          <reference field="4294967294" count="1">
            <x v="0"/>
          </reference>
        </references>
      </pivotArea>
    </format>
  </formats>
  <chartFormats count="4">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 chart="3" format="9">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FE6D4CE-B5AC-4A9B-A077-ED6FF36194D9}" sourceName="City">
  <pivotTables>
    <pivotTable tabId="2" name="PivotTable3"/>
    <pivotTable tabId="2" name="PivotTable1"/>
    <pivotTable tabId="2" name="PivotTable2"/>
    <pivotTable tabId="2" name="PivotTable4"/>
  </pivotTables>
  <data>
    <tabular pivotCacheId="1253806476">
      <items count="7">
        <i x="1" s="1"/>
        <i x="4" s="1"/>
        <i x="2" s="1"/>
        <i x="6"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E3C15B-CA02-4DCE-8409-2F0B821E90D4}" sourceName="Category">
  <pivotTables>
    <pivotTable tabId="2" name="PivotTable3"/>
    <pivotTable tabId="2" name="PivotTable1"/>
    <pivotTable tabId="2" name="PivotTable2"/>
    <pivotTable tabId="2" name="PivotTable4"/>
  </pivotTables>
  <data>
    <tabular pivotCacheId="1253806476">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5BA115E-A0FA-44C1-A09C-C2A28C49C8F3}" cache="Slicer_City" caption="City" style="SlicerStyleOther2" rowHeight="247650"/>
  <slicer name="Category" xr10:uid="{C693D636-CF36-4EA9-ABB6-FE34923931E6}" cache="Slicer_Category" caption="Category"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149B56-B04E-4DB6-953A-58C4F9893EC7}" name="Table1" displayName="Table1" ref="K2:L5" totalsRowShown="0" headerRowDxfId="3" dataDxfId="2">
  <autoFilter ref="K2:L5" xr:uid="{28149B56-B04E-4DB6-953A-58C4F9893EC7}"/>
  <tableColumns count="2">
    <tableColumn id="1" xr3:uid="{15722CF3-A42F-4171-B3C4-1D6848ADB343}" name="Column1" dataDxfId="1"/>
    <tableColumn id="2" xr3:uid="{485118E8-C902-4CAA-9B25-E2E667CC7A17}" name="Column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anesmith@email.com"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C7EEA-A552-4032-86C8-815A9019591B}">
  <sheetPr>
    <tabColor rgb="FFA8DADC"/>
  </sheetPr>
  <dimension ref="A1:L16"/>
  <sheetViews>
    <sheetView zoomScaleNormal="100" workbookViewId="0">
      <pane ySplit="1" topLeftCell="A2" activePane="bottomLeft" state="frozen"/>
      <selection pane="bottomLeft" activeCell="J21" sqref="J21"/>
    </sheetView>
  </sheetViews>
  <sheetFormatPr defaultRowHeight="14.4" x14ac:dyDescent="0.3"/>
  <cols>
    <col min="1" max="1" width="7.21875" bestFit="1" customWidth="1"/>
    <col min="2" max="2" width="14.33203125" bestFit="1" customWidth="1"/>
    <col min="3" max="3" width="22.6640625" bestFit="1" customWidth="1"/>
    <col min="4" max="4" width="11" style="7" bestFit="1" customWidth="1"/>
    <col min="5" max="5" width="7" bestFit="1" customWidth="1"/>
    <col min="6" max="6" width="15.6640625" bestFit="1" customWidth="1"/>
    <col min="7" max="7" width="10.88671875" bestFit="1" customWidth="1"/>
    <col min="8" max="8" width="7.6640625" bestFit="1" customWidth="1"/>
    <col min="9" max="9" width="8.77734375" bestFit="1" customWidth="1"/>
    <col min="10" max="10" width="9.77734375" bestFit="1" customWidth="1"/>
    <col min="11" max="11" width="14.44140625" bestFit="1" customWidth="1"/>
    <col min="12" max="12" width="10.109375" style="10" bestFit="1" customWidth="1"/>
    <col min="13" max="13" width="14.33203125" bestFit="1" customWidth="1"/>
  </cols>
  <sheetData>
    <row r="1" spans="1:12" s="4" customFormat="1" x14ac:dyDescent="0.3">
      <c r="A1" s="4" t="s">
        <v>0</v>
      </c>
      <c r="B1" s="4" t="s">
        <v>1</v>
      </c>
      <c r="C1" s="4" t="s">
        <v>2</v>
      </c>
      <c r="D1" s="5" t="s">
        <v>3</v>
      </c>
      <c r="E1" s="4" t="s">
        <v>4</v>
      </c>
      <c r="F1" s="4" t="s">
        <v>5</v>
      </c>
      <c r="G1" s="4" t="s">
        <v>6</v>
      </c>
      <c r="H1" s="4" t="s">
        <v>7</v>
      </c>
      <c r="I1" s="4" t="s">
        <v>8</v>
      </c>
      <c r="J1" s="4" t="s">
        <v>9</v>
      </c>
      <c r="K1" s="4" t="s">
        <v>10</v>
      </c>
      <c r="L1" s="9" t="s">
        <v>11</v>
      </c>
    </row>
    <row r="2" spans="1:12" x14ac:dyDescent="0.3">
      <c r="A2">
        <v>1001</v>
      </c>
      <c r="B2" t="s">
        <v>12</v>
      </c>
      <c r="C2" t="s">
        <v>13</v>
      </c>
      <c r="D2" s="6" t="s">
        <v>65</v>
      </c>
      <c r="E2" t="s">
        <v>14</v>
      </c>
      <c r="F2" t="s">
        <v>15</v>
      </c>
      <c r="G2" t="s">
        <v>16</v>
      </c>
      <c r="H2">
        <v>2</v>
      </c>
      <c r="I2">
        <v>5000</v>
      </c>
      <c r="J2" s="1">
        <v>46025</v>
      </c>
      <c r="K2" t="s">
        <v>17</v>
      </c>
      <c r="L2" s="10">
        <f>H2*I2</f>
        <v>10000</v>
      </c>
    </row>
    <row r="3" spans="1:12" x14ac:dyDescent="0.3">
      <c r="A3">
        <v>1002</v>
      </c>
      <c r="B3" t="s">
        <v>18</v>
      </c>
      <c r="C3" s="2" t="s">
        <v>19</v>
      </c>
      <c r="D3" s="6" t="s">
        <v>66</v>
      </c>
      <c r="E3" t="s">
        <v>20</v>
      </c>
      <c r="F3" t="s">
        <v>21</v>
      </c>
      <c r="G3" t="s">
        <v>22</v>
      </c>
      <c r="H3">
        <v>1</v>
      </c>
      <c r="I3">
        <v>12000</v>
      </c>
      <c r="J3" s="1">
        <v>46056</v>
      </c>
      <c r="K3" t="s">
        <v>23</v>
      </c>
      <c r="L3" s="10">
        <f t="shared" ref="L3:L16" si="0">H3*I3</f>
        <v>12000</v>
      </c>
    </row>
    <row r="4" spans="1:12" x14ac:dyDescent="0.3">
      <c r="A4">
        <v>1003</v>
      </c>
      <c r="B4" t="s">
        <v>24</v>
      </c>
      <c r="C4" t="s">
        <v>25</v>
      </c>
      <c r="D4" s="7" t="s">
        <v>67</v>
      </c>
      <c r="E4" t="s">
        <v>26</v>
      </c>
      <c r="F4" t="s">
        <v>27</v>
      </c>
      <c r="G4" t="s">
        <v>16</v>
      </c>
      <c r="H4">
        <v>3</v>
      </c>
      <c r="I4">
        <v>1500</v>
      </c>
      <c r="J4" s="1">
        <v>46056</v>
      </c>
      <c r="K4" t="s">
        <v>28</v>
      </c>
      <c r="L4" s="10">
        <f t="shared" si="0"/>
        <v>4500</v>
      </c>
    </row>
    <row r="5" spans="1:12" x14ac:dyDescent="0.3">
      <c r="A5">
        <v>1004</v>
      </c>
      <c r="B5" t="s">
        <v>29</v>
      </c>
      <c r="C5" t="s">
        <v>30</v>
      </c>
      <c r="D5" s="7" t="s">
        <v>68</v>
      </c>
      <c r="E5" t="s">
        <v>14</v>
      </c>
      <c r="F5" t="s">
        <v>31</v>
      </c>
      <c r="G5" t="s">
        <v>16</v>
      </c>
      <c r="H5">
        <v>1</v>
      </c>
      <c r="I5">
        <v>18000</v>
      </c>
      <c r="J5" s="1">
        <v>46084</v>
      </c>
      <c r="K5" t="s">
        <v>17</v>
      </c>
      <c r="L5" s="10">
        <f t="shared" si="0"/>
        <v>18000</v>
      </c>
    </row>
    <row r="6" spans="1:12" x14ac:dyDescent="0.3">
      <c r="A6">
        <v>1005</v>
      </c>
      <c r="B6" t="s">
        <v>32</v>
      </c>
      <c r="C6" t="s">
        <v>33</v>
      </c>
      <c r="D6" s="7" t="s">
        <v>69</v>
      </c>
      <c r="E6" t="s">
        <v>34</v>
      </c>
      <c r="F6" t="s">
        <v>35</v>
      </c>
      <c r="G6" t="s">
        <v>36</v>
      </c>
      <c r="H6">
        <v>1</v>
      </c>
      <c r="I6">
        <v>45000</v>
      </c>
      <c r="J6" s="1">
        <v>46084</v>
      </c>
      <c r="K6" t="s">
        <v>23</v>
      </c>
      <c r="L6" s="10">
        <f t="shared" si="0"/>
        <v>45000</v>
      </c>
    </row>
    <row r="7" spans="1:12" x14ac:dyDescent="0.3">
      <c r="A7">
        <v>1006</v>
      </c>
      <c r="B7" t="s">
        <v>12</v>
      </c>
      <c r="C7" t="s">
        <v>13</v>
      </c>
      <c r="D7" s="7" t="s">
        <v>65</v>
      </c>
      <c r="E7" t="s">
        <v>14</v>
      </c>
      <c r="F7" t="s">
        <v>15</v>
      </c>
      <c r="G7" t="s">
        <v>16</v>
      </c>
      <c r="H7">
        <v>1</v>
      </c>
      <c r="I7">
        <v>5000</v>
      </c>
      <c r="J7" s="1">
        <v>46115</v>
      </c>
      <c r="K7" t="s">
        <v>17</v>
      </c>
      <c r="L7" s="10">
        <f t="shared" si="0"/>
        <v>5000</v>
      </c>
    </row>
    <row r="8" spans="1:12" x14ac:dyDescent="0.3">
      <c r="A8">
        <v>1007</v>
      </c>
      <c r="B8" t="s">
        <v>37</v>
      </c>
      <c r="C8" t="s">
        <v>38</v>
      </c>
      <c r="D8" s="7" t="s">
        <v>70</v>
      </c>
      <c r="E8" t="s">
        <v>26</v>
      </c>
      <c r="F8" t="s">
        <v>39</v>
      </c>
      <c r="G8" t="s">
        <v>40</v>
      </c>
      <c r="H8">
        <v>5</v>
      </c>
      <c r="I8">
        <v>800</v>
      </c>
      <c r="J8" s="1">
        <v>46115</v>
      </c>
      <c r="K8" t="s">
        <v>28</v>
      </c>
      <c r="L8" s="10">
        <f t="shared" si="0"/>
        <v>4000</v>
      </c>
    </row>
    <row r="9" spans="1:12" x14ac:dyDescent="0.3">
      <c r="A9">
        <v>1008</v>
      </c>
      <c r="B9" t="s">
        <v>41</v>
      </c>
      <c r="C9" t="s">
        <v>42</v>
      </c>
      <c r="D9" s="7" t="s">
        <v>71</v>
      </c>
      <c r="E9" t="s">
        <v>43</v>
      </c>
      <c r="F9" t="s">
        <v>44</v>
      </c>
      <c r="G9" t="s">
        <v>22</v>
      </c>
      <c r="H9">
        <v>2</v>
      </c>
      <c r="I9">
        <v>7000</v>
      </c>
      <c r="J9" s="1">
        <v>46145</v>
      </c>
      <c r="K9" t="s">
        <v>23</v>
      </c>
      <c r="L9" s="10">
        <f t="shared" si="0"/>
        <v>14000</v>
      </c>
    </row>
    <row r="10" spans="1:12" x14ac:dyDescent="0.3">
      <c r="A10">
        <v>1009</v>
      </c>
      <c r="B10" t="s">
        <v>45</v>
      </c>
      <c r="C10" t="s">
        <v>46</v>
      </c>
      <c r="D10" s="7" t="s">
        <v>72</v>
      </c>
      <c r="E10" t="s">
        <v>47</v>
      </c>
      <c r="F10" t="s">
        <v>48</v>
      </c>
      <c r="G10" t="s">
        <v>16</v>
      </c>
      <c r="H10">
        <v>1</v>
      </c>
      <c r="I10">
        <v>15000</v>
      </c>
      <c r="J10" s="1">
        <v>46145</v>
      </c>
      <c r="K10" t="s">
        <v>17</v>
      </c>
      <c r="L10" s="10">
        <f t="shared" si="0"/>
        <v>15000</v>
      </c>
    </row>
    <row r="11" spans="1:12" x14ac:dyDescent="0.3">
      <c r="A11">
        <v>1010</v>
      </c>
      <c r="B11" t="s">
        <v>49</v>
      </c>
      <c r="C11" t="s">
        <v>50</v>
      </c>
      <c r="D11" s="7" t="s">
        <v>73</v>
      </c>
      <c r="E11" t="s">
        <v>20</v>
      </c>
      <c r="F11" t="s">
        <v>51</v>
      </c>
      <c r="G11" t="s">
        <v>16</v>
      </c>
      <c r="H11">
        <v>1</v>
      </c>
      <c r="I11">
        <v>65000</v>
      </c>
      <c r="J11" s="1">
        <v>46176</v>
      </c>
      <c r="K11" t="s">
        <v>17</v>
      </c>
      <c r="L11" s="10">
        <f t="shared" si="0"/>
        <v>65000</v>
      </c>
    </row>
    <row r="12" spans="1:12" x14ac:dyDescent="0.3">
      <c r="A12">
        <v>1011</v>
      </c>
      <c r="B12" t="s">
        <v>52</v>
      </c>
      <c r="C12" t="s">
        <v>53</v>
      </c>
      <c r="D12" s="7" t="s">
        <v>74</v>
      </c>
      <c r="E12" t="s">
        <v>54</v>
      </c>
      <c r="F12" t="s">
        <v>55</v>
      </c>
      <c r="G12" t="s">
        <v>16</v>
      </c>
      <c r="H12">
        <v>2</v>
      </c>
      <c r="I12">
        <v>6000</v>
      </c>
      <c r="J12" s="1">
        <v>46176</v>
      </c>
      <c r="K12" t="s">
        <v>23</v>
      </c>
      <c r="L12" s="10">
        <f t="shared" si="0"/>
        <v>12000</v>
      </c>
    </row>
    <row r="13" spans="1:12" x14ac:dyDescent="0.3">
      <c r="A13">
        <v>1012</v>
      </c>
      <c r="B13" t="s">
        <v>56</v>
      </c>
      <c r="C13" t="s">
        <v>57</v>
      </c>
      <c r="D13" s="7" t="s">
        <v>75</v>
      </c>
      <c r="E13" t="s">
        <v>14</v>
      </c>
      <c r="F13" t="s">
        <v>58</v>
      </c>
      <c r="G13" t="s">
        <v>36</v>
      </c>
      <c r="H13">
        <v>1</v>
      </c>
      <c r="I13">
        <v>55000</v>
      </c>
      <c r="J13" s="1">
        <v>46206</v>
      </c>
      <c r="K13" t="s">
        <v>28</v>
      </c>
      <c r="L13" s="10">
        <f t="shared" si="0"/>
        <v>55000</v>
      </c>
    </row>
    <row r="14" spans="1:12" x14ac:dyDescent="0.3">
      <c r="A14">
        <v>1013</v>
      </c>
      <c r="B14" t="s">
        <v>59</v>
      </c>
      <c r="C14" t="s">
        <v>60</v>
      </c>
      <c r="D14" s="7" t="s">
        <v>76</v>
      </c>
      <c r="E14" t="s">
        <v>26</v>
      </c>
      <c r="F14" t="s">
        <v>61</v>
      </c>
      <c r="G14" t="s">
        <v>40</v>
      </c>
      <c r="H14">
        <v>4</v>
      </c>
      <c r="I14">
        <v>1200</v>
      </c>
      <c r="J14" s="1">
        <v>46206</v>
      </c>
      <c r="K14" t="s">
        <v>17</v>
      </c>
      <c r="L14" s="10">
        <f t="shared" si="0"/>
        <v>4800</v>
      </c>
    </row>
    <row r="15" spans="1:12" x14ac:dyDescent="0.3">
      <c r="A15">
        <v>1014</v>
      </c>
      <c r="B15" t="s">
        <v>62</v>
      </c>
      <c r="C15" t="s">
        <v>63</v>
      </c>
      <c r="D15" s="7" t="s">
        <v>77</v>
      </c>
      <c r="E15" t="s">
        <v>43</v>
      </c>
      <c r="F15" t="s">
        <v>64</v>
      </c>
      <c r="G15" t="s">
        <v>16</v>
      </c>
      <c r="H15">
        <v>1</v>
      </c>
      <c r="I15">
        <v>22000</v>
      </c>
      <c r="J15" s="1">
        <v>46237</v>
      </c>
      <c r="K15" t="s">
        <v>23</v>
      </c>
      <c r="L15" s="10">
        <f t="shared" si="0"/>
        <v>22000</v>
      </c>
    </row>
    <row r="16" spans="1:12" x14ac:dyDescent="0.3">
      <c r="A16">
        <v>1015</v>
      </c>
      <c r="B16" t="s">
        <v>12</v>
      </c>
      <c r="C16" t="s">
        <v>13</v>
      </c>
      <c r="D16" s="7" t="s">
        <v>65</v>
      </c>
      <c r="E16" t="s">
        <v>14</v>
      </c>
      <c r="F16" t="s">
        <v>15</v>
      </c>
      <c r="G16" t="s">
        <v>16</v>
      </c>
      <c r="H16">
        <v>2</v>
      </c>
      <c r="I16">
        <v>5000</v>
      </c>
      <c r="J16" s="1">
        <v>46237</v>
      </c>
      <c r="K16" t="s">
        <v>17</v>
      </c>
      <c r="L16" s="10">
        <f t="shared" si="0"/>
        <v>10000</v>
      </c>
    </row>
  </sheetData>
  <hyperlinks>
    <hyperlink ref="C3" r:id="rId1" xr:uid="{2BA2BEBE-A1EA-44DB-9779-603B087EBD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9288F-95FD-4187-82D9-1A756868D311}">
  <sheetPr>
    <tabColor rgb="FFD6EAF8"/>
  </sheetPr>
  <dimension ref="A2:L18"/>
  <sheetViews>
    <sheetView workbookViewId="0">
      <selection activeCell="P2" sqref="P2"/>
    </sheetView>
  </sheetViews>
  <sheetFormatPr defaultRowHeight="14.4" x14ac:dyDescent="0.3"/>
  <cols>
    <col min="1" max="1" width="7" bestFit="1" customWidth="1"/>
    <col min="2" max="2" width="16.109375" bestFit="1" customWidth="1"/>
    <col min="4" max="4" width="10.88671875" bestFit="1" customWidth="1"/>
    <col min="5" max="5" width="16.109375" bestFit="1" customWidth="1"/>
    <col min="8" max="8" width="17.21875" bestFit="1" customWidth="1"/>
    <col min="9" max="11" width="16.109375" bestFit="1" customWidth="1"/>
    <col min="12" max="12" width="10.33203125" customWidth="1"/>
  </cols>
  <sheetData>
    <row r="2" spans="1:12" x14ac:dyDescent="0.3">
      <c r="A2" s="13" t="s">
        <v>89</v>
      </c>
      <c r="B2" s="13"/>
      <c r="D2" s="13" t="s">
        <v>88</v>
      </c>
      <c r="E2" s="13"/>
      <c r="H2" s="13" t="s">
        <v>91</v>
      </c>
      <c r="I2" s="14"/>
      <c r="K2" s="3" t="s">
        <v>95</v>
      </c>
      <c r="L2" s="3" t="s">
        <v>96</v>
      </c>
    </row>
    <row r="3" spans="1:12" x14ac:dyDescent="0.3">
      <c r="A3" s="8" t="s">
        <v>4</v>
      </c>
      <c r="B3" t="s">
        <v>78</v>
      </c>
      <c r="D3" s="8" t="s">
        <v>6</v>
      </c>
      <c r="E3" t="s">
        <v>78</v>
      </c>
      <c r="H3" s="8" t="s">
        <v>79</v>
      </c>
      <c r="I3" t="s">
        <v>78</v>
      </c>
      <c r="K3" s="3" t="s">
        <v>92</v>
      </c>
      <c r="L3" s="12">
        <f>SUM('Raw Data'!L2:L16)</f>
        <v>296300</v>
      </c>
    </row>
    <row r="4" spans="1:12" x14ac:dyDescent="0.3">
      <c r="A4" t="s">
        <v>54</v>
      </c>
      <c r="B4" s="10">
        <v>12000</v>
      </c>
      <c r="D4" t="s">
        <v>16</v>
      </c>
      <c r="E4" s="10">
        <v>161500</v>
      </c>
      <c r="H4" t="s">
        <v>80</v>
      </c>
      <c r="I4" s="10">
        <v>10000</v>
      </c>
      <c r="K4" s="3" t="s">
        <v>93</v>
      </c>
      <c r="L4" s="3">
        <f>COUNT('Raw Data'!A2:A16)</f>
        <v>15</v>
      </c>
    </row>
    <row r="5" spans="1:12" x14ac:dyDescent="0.3">
      <c r="A5" t="s">
        <v>26</v>
      </c>
      <c r="B5" s="10">
        <v>13300</v>
      </c>
      <c r="D5" t="s">
        <v>36</v>
      </c>
      <c r="E5" s="10">
        <v>100000</v>
      </c>
      <c r="H5" t="s">
        <v>81</v>
      </c>
      <c r="I5" s="10">
        <v>16500</v>
      </c>
      <c r="K5" s="3" t="s">
        <v>94</v>
      </c>
      <c r="L5" s="12">
        <f>AVERAGE('Raw Data'!L2:L16)</f>
        <v>19753.333333333332</v>
      </c>
    </row>
    <row r="6" spans="1:12" x14ac:dyDescent="0.3">
      <c r="A6" t="s">
        <v>47</v>
      </c>
      <c r="B6" s="10">
        <v>15000</v>
      </c>
      <c r="D6" t="s">
        <v>22</v>
      </c>
      <c r="E6" s="10">
        <v>26000</v>
      </c>
      <c r="H6" t="s">
        <v>82</v>
      </c>
      <c r="I6" s="10">
        <v>63000</v>
      </c>
    </row>
    <row r="7" spans="1:12" x14ac:dyDescent="0.3">
      <c r="A7" t="s">
        <v>43</v>
      </c>
      <c r="B7" s="10">
        <v>36000</v>
      </c>
      <c r="D7" t="s">
        <v>40</v>
      </c>
      <c r="E7" s="10">
        <v>8800</v>
      </c>
      <c r="H7" t="s">
        <v>83</v>
      </c>
      <c r="I7" s="10">
        <v>9000</v>
      </c>
    </row>
    <row r="8" spans="1:12" x14ac:dyDescent="0.3">
      <c r="A8" t="s">
        <v>34</v>
      </c>
      <c r="B8" s="10">
        <v>45000</v>
      </c>
      <c r="H8" t="s">
        <v>84</v>
      </c>
      <c r="I8" s="10">
        <v>29000</v>
      </c>
    </row>
    <row r="9" spans="1:12" x14ac:dyDescent="0.3">
      <c r="A9" t="s">
        <v>20</v>
      </c>
      <c r="B9" s="10">
        <v>77000</v>
      </c>
      <c r="H9" t="s">
        <v>85</v>
      </c>
      <c r="I9" s="10">
        <v>77000</v>
      </c>
    </row>
    <row r="10" spans="1:12" x14ac:dyDescent="0.3">
      <c r="A10" t="s">
        <v>14</v>
      </c>
      <c r="B10" s="10">
        <v>98000</v>
      </c>
      <c r="H10" t="s">
        <v>86</v>
      </c>
      <c r="I10" s="10">
        <v>59800</v>
      </c>
    </row>
    <row r="11" spans="1:12" x14ac:dyDescent="0.3">
      <c r="H11" t="s">
        <v>87</v>
      </c>
      <c r="I11" s="10">
        <v>32000</v>
      </c>
    </row>
    <row r="14" spans="1:12" x14ac:dyDescent="0.3">
      <c r="H14" s="14" t="s">
        <v>90</v>
      </c>
      <c r="I14" s="14"/>
    </row>
    <row r="15" spans="1:12" x14ac:dyDescent="0.3">
      <c r="H15" s="8" t="s">
        <v>10</v>
      </c>
      <c r="I15" t="s">
        <v>78</v>
      </c>
    </row>
    <row r="16" spans="1:12" x14ac:dyDescent="0.3">
      <c r="H16" t="s">
        <v>17</v>
      </c>
      <c r="I16" s="11">
        <v>0.4313196085048937</v>
      </c>
    </row>
    <row r="17" spans="8:9" x14ac:dyDescent="0.3">
      <c r="H17" t="s">
        <v>28</v>
      </c>
      <c r="I17" s="11">
        <v>0.2143098211272359</v>
      </c>
    </row>
    <row r="18" spans="8:9" x14ac:dyDescent="0.3">
      <c r="H18" t="s">
        <v>23</v>
      </c>
      <c r="I18" s="11">
        <v>0.3543705703678704</v>
      </c>
    </row>
  </sheetData>
  <mergeCells count="4">
    <mergeCell ref="D2:E2"/>
    <mergeCell ref="A2:B2"/>
    <mergeCell ref="H14:I14"/>
    <mergeCell ref="H2:I2"/>
  </mergeCells>
  <pageMargins left="0.7" right="0.7" top="0.75" bottom="0.75" header="0.3" footer="0.3"/>
  <pageSetup orientation="portrait"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E271-AD9D-4ACC-8146-149C2FCED6D1}">
  <sheetPr>
    <tabColor rgb="FF2A9D8F"/>
  </sheetPr>
  <dimension ref="X27"/>
  <sheetViews>
    <sheetView showGridLines="0" tabSelected="1" workbookViewId="0">
      <selection activeCell="X26" sqref="X26"/>
    </sheetView>
  </sheetViews>
  <sheetFormatPr defaultRowHeight="14.4" x14ac:dyDescent="0.3"/>
  <sheetData>
    <row r="27" spans="24:24" x14ac:dyDescent="0.3">
      <c r="X27" t="s">
        <v>97</v>
      </c>
    </row>
  </sheetData>
  <sheetProtection selectLockedCells="1"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Oladokun Olamide</dc:creator>
  <cp:lastModifiedBy>Oladokun Olamide</cp:lastModifiedBy>
  <cp:lastPrinted>2026-04-18T14:52:05Z</cp:lastPrinted>
  <dcterms:created xsi:type="dcterms:W3CDTF">2026-04-16T13:32:56Z</dcterms:created>
  <dcterms:modified xsi:type="dcterms:W3CDTF">2026-04-19T13:47:31Z</dcterms:modified>
</cp:coreProperties>
</file>